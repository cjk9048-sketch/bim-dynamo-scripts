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새 폴더\"/>
    </mc:Choice>
  </mc:AlternateContent>
  <xr:revisionPtr revIDLastSave="0" documentId="8_{566AC289-36A1-42BF-A56B-E8EEC9067B7A}" xr6:coauthVersionLast="36" xr6:coauthVersionMax="36" xr10:uidLastSave="{00000000-0000-0000-0000-000000000000}"/>
  <bookViews>
    <workbookView xWindow="0" yWindow="0" windowWidth="20970" windowHeight="3720" tabRatio="804" xr2:uid="{B9ED359F-5A0F-4D67-BE90-F9E58863FAB5}"/>
  </bookViews>
  <sheets>
    <sheet name="CSV_Import" sheetId="1" r:id="rId1"/>
    <sheet name="Formula" sheetId="3" r:id="rId2"/>
    <sheet name="Calc_Sheet" sheetId="5" r:id="rId3"/>
    <sheet name="Quantity_Report" sheetId="4" r:id="rId4"/>
  </sheets>
  <externalReferences>
    <externalReference r:id="rId5"/>
    <externalReference r:id="rId6"/>
    <externalReference r:id="rId7"/>
  </externalReferences>
  <definedNames>
    <definedName name="A">[1]DATE!$E$24:$E$85</definedName>
    <definedName name="_xlnm.Criteria">#REF!</definedName>
    <definedName name="D">[1]DATE!$C$24:$C$85</definedName>
    <definedName name="_xlnm.Database">#REF!</definedName>
    <definedName name="ExternalData_1" localSheetId="0">CSV_Import!$A$1:$K$113</definedName>
    <definedName name="ExternalData_2" localSheetId="0">CSV_Import!$A$1:$K$113</definedName>
    <definedName name="ExternalData_3" localSheetId="0">CSV_Import!$A$1:$N$313</definedName>
    <definedName name="_xlnm.Extract">#REF!</definedName>
    <definedName name="M당무게">[1]DATE!$E$24:$E$85</definedName>
    <definedName name="_xlnm.Print_Area" localSheetId="3">Quantity_Report!#REF!</definedName>
    <definedName name="_xlnm.Print_Titles" localSheetId="3">Quantity_Report!$1:$1</definedName>
    <definedName name="곱">[1]DATE!$I$24:$I$85</definedName>
    <definedName name="규격">[1]DATE!$C$24:$C$85</definedName>
    <definedName name="단관M">[1]DATE!$H$24:$H$85</definedName>
    <definedName name="더하기">[1]DATE!$J$24:$J$85</definedName>
    <definedName name="ㅁㅁ">[2]우배수!$E$24:$E$85</definedName>
    <definedName name="소켓무게">[3]DATE!$G$24:$G$79</definedName>
    <definedName name="이형관">[1]DATE!$B$24:$B$85</definedName>
    <definedName name="ㅈㅈ">[2]우배수!$I$24:$I$85</definedName>
    <definedName name="형상">[1]DATE!$D$24:$D$85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60" i="4" l="1"/>
  <c r="W158" i="4"/>
  <c r="W156" i="4"/>
  <c r="W150" i="4"/>
  <c r="W142" i="4"/>
  <c r="W140" i="4"/>
  <c r="W136" i="4"/>
  <c r="Z163" i="4" s="1"/>
  <c r="W124" i="4"/>
  <c r="W122" i="4"/>
  <c r="Z127" i="4" s="1"/>
  <c r="W120" i="4"/>
  <c r="W112" i="4"/>
  <c r="W110" i="4"/>
  <c r="W108" i="4"/>
  <c r="W106" i="4"/>
  <c r="W104" i="4"/>
  <c r="W100" i="4"/>
  <c r="W98" i="4"/>
  <c r="Z115" i="4" s="1"/>
  <c r="W88" i="4"/>
  <c r="W86" i="4"/>
  <c r="W84" i="4"/>
  <c r="W82" i="4"/>
  <c r="W80" i="4"/>
  <c r="W78" i="4"/>
  <c r="W72" i="4"/>
  <c r="W64" i="4"/>
  <c r="W62" i="4"/>
  <c r="W60" i="4"/>
  <c r="W58" i="4"/>
  <c r="W54" i="4"/>
  <c r="W50" i="4"/>
  <c r="W48" i="4"/>
  <c r="W46" i="4"/>
  <c r="W44" i="4"/>
  <c r="W42" i="4"/>
  <c r="W40" i="4"/>
  <c r="W32" i="4"/>
  <c r="Z91" i="4" s="1"/>
  <c r="W22" i="4"/>
  <c r="W20" i="4"/>
  <c r="W18" i="4"/>
  <c r="W16" i="4"/>
  <c r="W14" i="4"/>
  <c r="W8" i="4"/>
  <c r="W6" i="4"/>
  <c r="Z25" i="4" s="1"/>
  <c r="B28" i="5" l="1"/>
  <c r="B27" i="5"/>
  <c r="B26" i="5"/>
  <c r="B15" i="5"/>
  <c r="B14" i="5"/>
  <c r="B24" i="5"/>
  <c r="B18" i="5" s="1"/>
  <c r="B22" i="5"/>
  <c r="B23" i="5" s="1"/>
  <c r="B20" i="5"/>
  <c r="B21" i="5" s="1"/>
  <c r="B11" i="5"/>
  <c r="B10" i="5"/>
  <c r="B7" i="5"/>
  <c r="B6" i="5"/>
  <c r="B5" i="5"/>
  <c r="B4" i="5"/>
  <c r="B3" i="5"/>
  <c r="B2" i="5"/>
  <c r="B25" i="5" l="1"/>
  <c r="B16" i="5"/>
  <c r="B8" i="5"/>
  <c r="B9" i="5"/>
  <c r="B19" i="5"/>
  <c r="B12" i="5"/>
  <c r="B13" i="5"/>
  <c r="B1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8607D0-ABD7-4CC2-8D8B-74A5DACF1A0A}" name="ReservoirData" type="6" refreshedVersion="6" background="1" saveData="1">
    <textPr prompt="0" sourceFile="C:\Users\user\Desktop\새 폴더\ReservoirData.csv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ADF2BC89-5687-495B-AA88-9CD965937189}" name="ReservoirData1" type="6" refreshedVersion="6" background="1" saveData="1">
    <textPr prompt="0" codePage="65001" sourceFile="C:\Users\user\Desktop\새 폴더\ReservoirData.csv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1C8B71BE-4D65-4E8C-860D-FD6408B95BF7}" name="ReservoirData2" type="6" refreshedVersion="6" background="1" saveData="1">
    <textPr prompt="0" codePage="65001" sourceFile="C:\Users\user\Desktop\새 폴더\ReservoirData.csv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<sst xmlns="http://schemas.openxmlformats.org/spreadsheetml/2006/main" count="2066" uniqueCount="206">
  <si>
    <t>HostID</t>
    <phoneticPr fontId="1" type="noConversion"/>
  </si>
  <si>
    <t xml:space="preserve"> </t>
    <phoneticPr fontId="4" type="noConversion"/>
  </si>
  <si>
    <t xml:space="preserve">산         출           근         거 </t>
  </si>
  <si>
    <t>수  량</t>
  </si>
  <si>
    <t>시스템 비계</t>
  </si>
  <si>
    <t>강관조립 말비계(이동식)</t>
  </si>
  <si>
    <t>강관동바리</t>
  </si>
  <si>
    <t>시스템 동바리</t>
  </si>
  <si>
    <t>방수</t>
  </si>
  <si>
    <t>콘크리트 표면마무리</t>
  </si>
  <si>
    <t>콘크리트 양생</t>
  </si>
  <si>
    <t>콘크리트치핑</t>
  </si>
  <si>
    <t>무근콘크리트</t>
  </si>
  <si>
    <t>철근콘크리트</t>
  </si>
  <si>
    <t>유로폼</t>
  </si>
  <si>
    <t>L1</t>
  </si>
  <si>
    <t>L2</t>
  </si>
  <si>
    <t>L4</t>
  </si>
  <si>
    <t>L3</t>
  </si>
  <si>
    <t>B1</t>
  </si>
  <si>
    <t>S1</t>
  </si>
  <si>
    <t>S2</t>
  </si>
  <si>
    <t>MS1</t>
  </si>
  <si>
    <t>TC1</t>
  </si>
  <si>
    <t>TC2</t>
  </si>
  <si>
    <t>TC3</t>
  </si>
  <si>
    <t>C1</t>
  </si>
  <si>
    <t>G1</t>
  </si>
  <si>
    <t>G2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</si>
  <si>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</si>
  <si>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</si>
  <si>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</si>
  <si>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</si>
  <si>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</si>
  <si>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</si>
  <si>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</si>
  <si>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</si>
  <si>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</si>
  <si>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</si>
  <si>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B3</t>
  </si>
  <si>
    <t>Formula</t>
    <phoneticPr fontId="1" type="noConversion"/>
  </si>
  <si>
    <t>([L1]*[W1]+[L2]*[W2]+[L3]*[W3])*[H]</t>
  </si>
  <si>
    <t>([L1]*[W1]+[L2]*[W2]+[L3]*[W3])*[H]</t>
    <phoneticPr fontId="1" type="noConversion"/>
  </si>
  <si>
    <t>[L1]*[W1]*[H]</t>
    <phoneticPr fontId="1" type="noConversion"/>
  </si>
  <si>
    <t>B2</t>
  </si>
  <si>
    <t>B4</t>
  </si>
  <si>
    <t>([W1]+[W2])*[H]*1/2*([L1]*2+[L2]*2+[L3])</t>
    <phoneticPr fontId="1" type="noConversion"/>
  </si>
  <si>
    <t>[L1]*[H]*[W1]</t>
    <phoneticPr fontId="1" type="noConversion"/>
  </si>
  <si>
    <t>거푸집(합판6회)</t>
    <phoneticPr fontId="1" type="noConversion"/>
  </si>
  <si>
    <t>거푸집(합판4회)</t>
    <phoneticPr fontId="1" type="noConversion"/>
  </si>
  <si>
    <t>Calc_Code</t>
    <phoneticPr fontId="1" type="noConversion"/>
  </si>
  <si>
    <t>Description</t>
    <phoneticPr fontId="1" type="noConversion"/>
  </si>
  <si>
    <t>L1_L_Long</t>
    <phoneticPr fontId="1" type="noConversion"/>
  </si>
  <si>
    <t>L1_W_Long</t>
    <phoneticPr fontId="1" type="noConversion"/>
  </si>
  <si>
    <t>([W1]+[L1_L_Long]+[W3])*[H]</t>
    <phoneticPr fontId="1" type="noConversion"/>
  </si>
  <si>
    <t>([L1]*2+[W1])*[H]</t>
    <phoneticPr fontId="1" type="noConversion"/>
  </si>
  <si>
    <t>-([L1]*[H]*[W1])</t>
    <phoneticPr fontId="1" type="noConversion"/>
  </si>
  <si>
    <t>([L1]*2+[L2]*2+[L3])*[H]</t>
    <phoneticPr fontId="1" type="noConversion"/>
  </si>
  <si>
    <t>([W1]+[L1]*2)*[H]</t>
    <phoneticPr fontId="1" type="noConversion"/>
  </si>
  <si>
    <t>([W1]+[B1_L_Long]+[W3])*[H]</t>
    <phoneticPr fontId="1" type="noConversion"/>
  </si>
  <si>
    <t>B1_L_Long</t>
    <phoneticPr fontId="1" type="noConversion"/>
  </si>
  <si>
    <t>B1_W_Long</t>
    <phoneticPr fontId="1" type="noConversion"/>
  </si>
  <si>
    <t>거푸집(합판3회)</t>
    <phoneticPr fontId="1" type="noConversion"/>
  </si>
  <si>
    <t>S1_L_Inner</t>
    <phoneticPr fontId="1" type="noConversion"/>
  </si>
  <si>
    <t>S1_W_Inner</t>
    <phoneticPr fontId="1" type="noConversion"/>
  </si>
  <si>
    <t>S1_L_Form</t>
    <phoneticPr fontId="1" type="noConversion"/>
  </si>
  <si>
    <t>S1_W_Form</t>
    <phoneticPr fontId="1" type="noConversion"/>
  </si>
  <si>
    <t>MS1_L_Form</t>
  </si>
  <si>
    <t>MS1_W_Form</t>
  </si>
  <si>
    <t>H1_haunch</t>
    <phoneticPr fontId="1" type="noConversion"/>
  </si>
  <si>
    <t>H2_haunch</t>
  </si>
  <si>
    <t>S2_BL_Inner</t>
    <phoneticPr fontId="1" type="noConversion"/>
  </si>
  <si>
    <t>S2_BW_Inner</t>
    <phoneticPr fontId="1" type="noConversion"/>
  </si>
  <si>
    <t>S2_BL_Form</t>
    <phoneticPr fontId="1" type="noConversion"/>
  </si>
  <si>
    <t>S2_BW_Form</t>
    <phoneticPr fontId="1" type="noConversion"/>
  </si>
  <si>
    <t>S2_EL_Inner</t>
  </si>
  <si>
    <t>S2_EW_Inner</t>
  </si>
  <si>
    <t>S2_EL_Form</t>
  </si>
  <si>
    <t>S2_EW_Form</t>
  </si>
  <si>
    <t>S2 배관실 내부 세로길이</t>
    <phoneticPr fontId="1" type="noConversion"/>
  </si>
  <si>
    <t>S2 배관실 내부 가로길이</t>
    <phoneticPr fontId="1" type="noConversion"/>
  </si>
  <si>
    <t>S1 수조부 내부 세로길이</t>
    <phoneticPr fontId="1" type="noConversion"/>
  </si>
  <si>
    <t>S1 수조부 내부 가로길이</t>
    <phoneticPr fontId="1" type="noConversion"/>
  </si>
  <si>
    <t>S1 수조부 내부 거푸집세로길이</t>
    <phoneticPr fontId="1" type="noConversion"/>
  </si>
  <si>
    <t>S1 수조부 내부 거푸집가로길이</t>
    <phoneticPr fontId="1" type="noConversion"/>
  </si>
  <si>
    <t>S2 배관실 내부 거푸집세로길이</t>
    <phoneticPr fontId="1" type="noConversion"/>
  </si>
  <si>
    <t>S2 배관실 내부 거푸집가로길이</t>
    <phoneticPr fontId="1" type="noConversion"/>
  </si>
  <si>
    <t>S2 전기실 내부 세로길이</t>
    <phoneticPr fontId="1" type="noConversion"/>
  </si>
  <si>
    <t>S2 전기실 내부 가로길이</t>
    <phoneticPr fontId="1" type="noConversion"/>
  </si>
  <si>
    <t>S2 전기실 내부 거푸집세로길이</t>
    <phoneticPr fontId="1" type="noConversion"/>
  </si>
  <si>
    <t>S2 전기실 내부 거푸집가로길이</t>
    <phoneticPr fontId="1" type="noConversion"/>
  </si>
  <si>
    <t>L1 수조부 버림 세로 총길이</t>
    <phoneticPr fontId="1" type="noConversion"/>
  </si>
  <si>
    <t>L1 수조부 버림 가로 총길이</t>
    <phoneticPr fontId="1" type="noConversion"/>
  </si>
  <si>
    <t>B1 수조부 기초 세로 총길이</t>
    <phoneticPr fontId="1" type="noConversion"/>
  </si>
  <si>
    <t>B1 수조부 기초 가로 총길이</t>
    <phoneticPr fontId="1" type="noConversion"/>
  </si>
  <si>
    <t>MS1 배관실 중간 내부 세로길이</t>
    <phoneticPr fontId="1" type="noConversion"/>
  </si>
  <si>
    <t>MS1 배관실 중간 내부 가로길이</t>
    <phoneticPr fontId="1" type="noConversion"/>
  </si>
  <si>
    <t>H1 수조부 헌치</t>
    <phoneticPr fontId="1" type="noConversion"/>
  </si>
  <si>
    <t>H2 배관실 2층 헌치</t>
    <phoneticPr fontId="1" type="noConversion"/>
  </si>
  <si>
    <t>H2 배관실 1층 헌치</t>
    <phoneticPr fontId="1" type="noConversion"/>
  </si>
  <si>
    <t>[S1_W_Form]*[S1_L_Form]</t>
    <phoneticPr fontId="1" type="noConversion"/>
  </si>
  <si>
    <t>[S2_BW_Form]*[S2_BL_Form]+[S2_EW_Form]*[S2_EL_Form]</t>
    <phoneticPr fontId="1" type="noConversion"/>
  </si>
  <si>
    <t>[MS1_W_Form]*[MS1_L_Form]</t>
    <phoneticPr fontId="1" type="noConversion"/>
  </si>
  <si>
    <t>([W1]*2+[L1]*2)*[H1]</t>
    <phoneticPr fontId="1" type="noConversion"/>
  </si>
  <si>
    <t>[L1]*[H]*2</t>
    <phoneticPr fontId="1" type="noConversion"/>
  </si>
  <si>
    <t>C1 기둥부 세로 길이</t>
    <phoneticPr fontId="1" type="noConversion"/>
  </si>
  <si>
    <t>C1 기둥헌치부 밑변 길이</t>
    <phoneticPr fontId="1" type="noConversion"/>
  </si>
  <si>
    <t>L2_Sub</t>
    <phoneticPr fontId="1" type="noConversion"/>
  </si>
  <si>
    <t>H1_Form</t>
    <phoneticPr fontId="1" type="noConversion"/>
  </si>
  <si>
    <t>H2_Form</t>
    <phoneticPr fontId="1" type="noConversion"/>
  </si>
  <si>
    <t>H3_Form</t>
    <phoneticPr fontId="1" type="noConversion"/>
  </si>
  <si>
    <t>H1 수조부 빗변길이</t>
    <phoneticPr fontId="1" type="noConversion"/>
  </si>
  <si>
    <t>H2 수조부 빗변길이</t>
    <phoneticPr fontId="1" type="noConversion"/>
  </si>
  <si>
    <t>H3 수조부 빗변길이</t>
    <phoneticPr fontId="1" type="noConversion"/>
  </si>
  <si>
    <t>H3_haunch</t>
    <phoneticPr fontId="1" type="noConversion"/>
  </si>
  <si>
    <t>C1_H_Form</t>
    <phoneticPr fontId="1" type="noConversion"/>
  </si>
  <si>
    <t>C1 기둥헌치 빗변길이</t>
    <phoneticPr fontId="1" type="noConversion"/>
  </si>
  <si>
    <t>C1_Up</t>
    <phoneticPr fontId="1" type="noConversion"/>
  </si>
  <si>
    <t>C1_Bottom</t>
    <phoneticPr fontId="1" type="noConversion"/>
  </si>
  <si>
    <t>([L1]+[C1_Bottom])*1/2*[C1_H_Form]*4+[L1]*[C1_Up]*4</t>
    <phoneticPr fontId="1" type="noConversion"/>
  </si>
  <si>
    <t>[L1]^2*[C1_Up]+([C1_Bottom]^2+[L1]^2)*1/2*[ETC]</t>
    <phoneticPr fontId="1" type="noConversion"/>
  </si>
  <si>
    <t>(내측)#[L1]*[H]|(외측)#[L1]*[H]</t>
    <phoneticPr fontId="1" type="noConversion"/>
  </si>
  <si>
    <t>H</t>
  </si>
  <si>
    <t>ETC</t>
  </si>
  <si>
    <t>DH_ElementCode</t>
  </si>
  <si>
    <t>DH_Class</t>
  </si>
  <si>
    <t>DH_Category</t>
  </si>
  <si>
    <t>DH_Zone</t>
  </si>
  <si>
    <t>DH_Part</t>
  </si>
  <si>
    <t>ElementID</t>
  </si>
  <si>
    <t>Body</t>
  </si>
  <si>
    <t>기둥</t>
  </si>
  <si>
    <t>수조부</t>
  </si>
  <si>
    <t>C1_ColNum</t>
  </si>
  <si>
    <t>기둥_열_개수</t>
  </si>
  <si>
    <t>C1_RowNum</t>
  </si>
  <si>
    <t>기둥_행_개수</t>
  </si>
  <si>
    <t>벽체</t>
  </si>
  <si>
    <t>배관실</t>
  </si>
  <si>
    <t>Hopper_벽체</t>
  </si>
  <si>
    <t>외벽_좌측</t>
  </si>
  <si>
    <t>전기실_벽체</t>
  </si>
  <si>
    <t>외벽_우측</t>
  </si>
  <si>
    <t>외벽_후면</t>
  </si>
  <si>
    <t>외벽_전면</t>
  </si>
  <si>
    <t>경계부_벽체</t>
  </si>
  <si>
    <t>내벽</t>
  </si>
  <si>
    <t>보</t>
  </si>
  <si>
    <t>슬래브</t>
  </si>
  <si>
    <t>기초콘크리트</t>
  </si>
  <si>
    <t>버림콘크리트</t>
  </si>
  <si>
    <t>단차_버림콘크리트</t>
  </si>
  <si>
    <t>중간슬래브</t>
  </si>
  <si>
    <t>상부슬래브</t>
  </si>
  <si>
    <t>바닥슬래브_덧침콘크리트</t>
  </si>
  <si>
    <t>중간슬래브_덧침콘크리트</t>
  </si>
  <si>
    <t>전기실_덧침콘크리트</t>
  </si>
  <si>
    <t>H1</t>
  </si>
  <si>
    <t>헌치</t>
  </si>
  <si>
    <t>H2</t>
  </si>
  <si>
    <t>H3</t>
  </si>
  <si>
    <t>H4</t>
  </si>
  <si>
    <t>P1</t>
  </si>
  <si>
    <t>PIT</t>
  </si>
  <si>
    <t>ㅇ 슬래브</t>
  </si>
  <si>
    <t>L1 :</t>
  </si>
  <si>
    <t>(</t>
  </si>
  <si>
    <t>×</t>
  </si>
  <si>
    <t>+</t>
  </si>
  <si>
    <t>)</t>
  </si>
  <si>
    <t>=</t>
  </si>
  <si>
    <t>L2 :</t>
  </si>
  <si>
    <t>L3 :</t>
  </si>
  <si>
    <t>/</t>
  </si>
  <si>
    <t>L4 :</t>
  </si>
  <si>
    <t>TC1 :</t>
  </si>
  <si>
    <t>TC2 :</t>
  </si>
  <si>
    <t>TC3 :</t>
  </si>
  <si>
    <t>계 :</t>
  </si>
  <si>
    <t>ㅇ 기둥</t>
  </si>
  <si>
    <t>C1 :</t>
  </si>
  <si>
    <t>ㅇ 벽체</t>
  </si>
  <si>
    <t>B3 :</t>
  </si>
  <si>
    <t>W1 :</t>
  </si>
  <si>
    <t>W10 :</t>
  </si>
  <si>
    <t>W2 :</t>
  </si>
  <si>
    <t>W3 :</t>
  </si>
  <si>
    <t>W4 :</t>
  </si>
  <si>
    <t>W5 :</t>
  </si>
  <si>
    <t>W6 :</t>
  </si>
  <si>
    <t>W7 :</t>
  </si>
  <si>
    <t>W8 :</t>
  </si>
  <si>
    <t>W9 :</t>
  </si>
  <si>
    <t>ㅇ 보</t>
  </si>
  <si>
    <t>G1 :</t>
  </si>
  <si>
    <t>B1 :</t>
  </si>
  <si>
    <t>B2 :</t>
  </si>
  <si>
    <t>B4 :</t>
  </si>
  <si>
    <t>MS1 :</t>
  </si>
  <si>
    <t>S1 :</t>
  </si>
  <si>
    <t>S2 :</t>
  </si>
  <si>
    <t>거푸집(합판6회)</t>
  </si>
  <si>
    <t>거푸집(합판4회)</t>
  </si>
  <si>
    <t>거푸집(합판3회)</t>
  </si>
  <si>
    <t>W1 (내측) :</t>
  </si>
  <si>
    <t>W1 (외측)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</si>
</sst>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&quot;EA&quot;"/>
    <numFmt numFmtId="177" formatCode="#,##0.00\ &quot;m³&quot;"/>
    <numFmt numFmtId="178" formatCode="#,##0.00\ &quot;m²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돋움체"/>
      <family val="3"/>
      <charset val="129"/>
    </font>
    <font>
      <b/>
      <sz val="8"/>
      <name val="돋움"/>
      <family val="3"/>
      <charset val="129"/>
    </font>
    <font>
      <sz val="8"/>
      <name val="돋움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vertAlign val="superscript"/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41" fontId="6" fillId="0" borderId="0" applyFont="0" applyFill="0" applyBorder="0" applyAlignment="0" applyProtection="0"/>
  </cellStyleXfs>
  <cellXfs count="3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0" borderId="1" xfId="1" applyFont="1" applyFill="1" applyBorder="1" applyAlignment="1">
      <alignment horizontal="center" vertical="center"/>
    </xf>
    <xf numFmtId="2" fontId="3" fillId="0" borderId="2" xfId="1" applyNumberFormat="1" applyFont="1" applyFill="1" applyBorder="1" applyAlignment="1">
      <alignment horizontal="centerContinuous" vertical="center"/>
    </xf>
    <xf numFmtId="2" fontId="3" fillId="0" borderId="1" xfId="1" applyNumberFormat="1" applyFont="1" applyFill="1" applyBorder="1" applyAlignment="1">
      <alignment horizontal="centerContinuous" vertical="center"/>
    </xf>
    <xf numFmtId="2" fontId="3" fillId="0" borderId="3" xfId="1" applyNumberFormat="1" applyFont="1" applyFill="1" applyBorder="1" applyAlignment="1">
      <alignment horizontal="centerContinuous" vertical="center"/>
    </xf>
    <xf numFmtId="0" fontId="3" fillId="0" borderId="3" xfId="1" applyFont="1" applyFill="1" applyBorder="1" applyAlignment="1">
      <alignment horizontal="centerContinuous" vertical="center"/>
    </xf>
    <xf numFmtId="0" fontId="3" fillId="0" borderId="4" xfId="1" applyFont="1" applyFill="1" applyBorder="1" applyAlignment="1">
      <alignment horizontal="centerContinuous" vertical="center"/>
    </xf>
    <xf numFmtId="0" fontId="3" fillId="0" borderId="4" xfId="1" applyFont="1" applyFill="1" applyBorder="1" applyAlignment="1">
      <alignment horizontal="center" vertical="center"/>
    </xf>
    <xf numFmtId="1" fontId="5" fillId="0" borderId="0" xfId="1" applyNumberFormat="1" applyFont="1" applyFill="1" applyBorder="1" applyAlignment="1">
      <alignment vertical="center"/>
    </xf>
    <xf numFmtId="1" fontId="5" fillId="0" borderId="6" xfId="1" applyNumberFormat="1" applyFont="1" applyFill="1" applyBorder="1" applyAlignment="1">
      <alignment vertical="center"/>
    </xf>
    <xf numFmtId="1" fontId="5" fillId="0" borderId="5" xfId="1" applyNumberFormat="1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2" fontId="0" fillId="0" borderId="0" xfId="0" applyNumberFormat="1">
      <alignment vertical="center"/>
    </xf>
    <xf numFmtId="0" fontId="7" fillId="0" borderId="0" xfId="0" applyFont="1" applyFill="1">
      <alignment vertical="center"/>
    </xf>
    <xf numFmtId="1" fontId="3" fillId="0" borderId="5" xfId="1" applyNumberFormat="1" applyFont="1" applyFill="1" applyBorder="1" applyAlignment="1">
      <alignment horizontal="left" vertical="center"/>
    </xf>
    <xf numFmtId="1" fontId="5" fillId="0" borderId="5" xfId="1" applyNumberFormat="1" applyFont="1" applyFill="1" applyBorder="1" applyAlignment="1">
      <alignment horizontal="left" vertical="center"/>
    </xf>
    <xf numFmtId="1" fontId="5" fillId="0" borderId="0" xfId="1" applyNumberFormat="1" applyFont="1" applyFill="1" applyBorder="1" applyAlignment="1">
      <alignment horizontal="right" vertical="center"/>
    </xf>
    <xf numFmtId="1" fontId="5" fillId="0" borderId="0" xfId="1" applyNumberFormat="1" applyFont="1" applyFill="1" applyBorder="1" applyAlignment="1">
      <alignment horizontal="center" vertical="center"/>
    </xf>
    <xf numFmtId="2" fontId="5" fillId="0" borderId="0" xfId="1" applyNumberFormat="1" applyFont="1" applyFill="1" applyBorder="1" applyAlignment="1">
      <alignment horizontal="centerContinuous" vertical="center" shrinkToFit="1"/>
    </xf>
    <xf numFmtId="176" fontId="5" fillId="0" borderId="0" xfId="1" applyNumberFormat="1" applyFont="1" applyFill="1" applyBorder="1" applyAlignment="1">
      <alignment horizontal="centerContinuous" vertical="center" shrinkToFit="1"/>
    </xf>
    <xf numFmtId="4" fontId="5" fillId="0" borderId="0" xfId="1" applyNumberFormat="1" applyFont="1" applyFill="1" applyBorder="1" applyAlignment="1">
      <alignment horizontal="centerContinuous" vertical="center" shrinkToFit="1"/>
    </xf>
    <xf numFmtId="4" fontId="5" fillId="0" borderId="6" xfId="1" applyNumberFormat="1" applyFont="1" applyFill="1" applyBorder="1" applyAlignment="1">
      <alignment horizontal="centerContinuous" vertical="center" shrinkToFit="1"/>
    </xf>
    <xf numFmtId="0" fontId="5" fillId="0" borderId="0" xfId="1" applyNumberFormat="1" applyFont="1" applyFill="1" applyBorder="1" applyAlignment="1">
      <alignment horizontal="centerContinuous" vertical="center" shrinkToFit="1"/>
    </xf>
    <xf numFmtId="1" fontId="5" fillId="0" borderId="6" xfId="1" applyNumberFormat="1" applyFont="1" applyFill="1" applyBorder="1" applyAlignment="1">
      <alignment horizontal="right" vertical="center"/>
    </xf>
    <xf numFmtId="177" fontId="3" fillId="0" borderId="6" xfId="1" applyNumberFormat="1" applyFont="1" applyFill="1" applyBorder="1" applyAlignment="1">
      <alignment vertical="center"/>
    </xf>
    <xf numFmtId="178" fontId="3" fillId="0" borderId="6" xfId="1" applyNumberFormat="1" applyFont="1" applyFill="1" applyBorder="1" applyAlignment="1">
      <alignment vertical="center"/>
    </xf>
    <xf numFmtId="2" fontId="5" fillId="0" borderId="0" xfId="1" applyNumberFormat="1" applyFont="1" applyFill="1" applyBorder="1" applyAlignment="1">
      <alignment horizontal="center" vertical="center" shrinkToFit="1"/>
    </xf>
    <xf numFmtId="176" fontId="5" fillId="0" borderId="0" xfId="1" applyNumberFormat="1" applyFont="1" applyFill="1" applyBorder="1" applyAlignment="1">
      <alignment horizontal="center" vertical="center" shrinkToFit="1"/>
    </xf>
    <xf numFmtId="4" fontId="5" fillId="0" borderId="0" xfId="1" applyNumberFormat="1" applyFont="1" applyFill="1" applyBorder="1" applyAlignment="1">
      <alignment horizontal="center" vertical="center" shrinkToFit="1"/>
    </xf>
    <xf numFmtId="4" fontId="5" fillId="0" borderId="6" xfId="1" applyNumberFormat="1" applyFont="1" applyFill="1" applyBorder="1" applyAlignment="1">
      <alignment horizontal="center" vertical="center" shrinkToFit="1"/>
    </xf>
    <xf numFmtId="0" fontId="5" fillId="0" borderId="0" xfId="1" applyNumberFormat="1" applyFont="1" applyFill="1" applyBorder="1" applyAlignment="1">
      <alignment horizontal="center" vertical="center" shrinkToFit="1"/>
    </xf>
    <xf numFmtId="177" fontId="5" fillId="0" borderId="6" xfId="1" applyNumberFormat="1" applyFont="1" applyFill="1" applyBorder="1" applyAlignment="1">
      <alignment vertical="center"/>
    </xf>
    <xf numFmtId="2" fontId="9" fillId="0" borderId="0" xfId="1" applyNumberFormat="1" applyFont="1" applyFill="1" applyBorder="1" applyAlignment="1">
      <alignment horizontal="center" vertical="center" shrinkToFit="1"/>
    </xf>
    <xf numFmtId="1" fontId="9" fillId="0" borderId="0" xfId="1" applyNumberFormat="1" applyFont="1" applyFill="1" applyBorder="1" applyAlignment="1">
      <alignment horizontal="center" vertical="center"/>
    </xf>
  </cellXfs>
  <cellStyles count="3">
    <cellStyle name="쉼표 [0] 2" xfId="2" xr:uid="{140573A7-5F29-43A3-92AA-6BB0172AF2B6}"/>
    <cellStyle name="표준" xfId="0" builtinId="0"/>
    <cellStyle name="표준_3.1 침사지 및 유입펌프장" xfId="1" xr:uid="{0B2D5FBD-061A-45B7-ADA4-6075285872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200025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BIM 수량산출서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lsil2\YOUNGDOC\CIVIL\EXCLE\DAT\&#44256;&#50577;&#44288;&#5111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CAD\&#54620;&#51312;\&#49688;&#47049;\&#48512;&#54217;&#48176;&#49688;&#51648;\&#50864;&#48176;&#49688;&#53664;&#4427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lsil2\YOUNGDOC\CIVIL\EXCLE\DAT\&#44288;&#51116;&#4730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E"/>
      <sheetName val="지장물보호공"/>
      <sheetName val="사다리-C"/>
      <sheetName val="상수가스보호"/>
      <sheetName val="통신보호"/>
      <sheetName val="전주지지대"/>
      <sheetName val="L형측구(화강석)"/>
      <sheetName val="L형측구(콘크리트)"/>
      <sheetName val="관보호공단위수량표"/>
      <sheetName val="오수받이뚜껑단위수량"/>
      <sheetName val="석축"/>
      <sheetName val="토공유용계획"/>
      <sheetName val="유입관로집계"/>
      <sheetName val="유입관로토적"/>
      <sheetName val="처리장집계"/>
      <sheetName val="처리장토적"/>
      <sheetName val="진입도로토적"/>
    </sheetNames>
    <sheetDataSet>
      <sheetData sheetId="0" refreshError="1">
        <row r="24">
          <cell r="B24" t="str">
            <v>수평곡관</v>
          </cell>
          <cell r="C24" t="str">
            <v>D=100×11¼˚</v>
          </cell>
          <cell r="D24" t="str">
            <v xml:space="preserve"> ⊃</v>
          </cell>
          <cell r="E24">
            <v>10</v>
          </cell>
        </row>
        <row r="25">
          <cell r="B25" t="str">
            <v>수평곡관</v>
          </cell>
          <cell r="C25" t="str">
            <v>D=150×11¼˚</v>
          </cell>
          <cell r="D25" t="str">
            <v xml:space="preserve"> ⊃</v>
          </cell>
          <cell r="E25">
            <v>12</v>
          </cell>
        </row>
        <row r="26">
          <cell r="B26" t="str">
            <v>수평곡관</v>
          </cell>
          <cell r="C26" t="str">
            <v>D=100×11¼˚</v>
          </cell>
          <cell r="D26" t="str">
            <v xml:space="preserve"> ⊃</v>
          </cell>
          <cell r="E26">
            <v>17</v>
          </cell>
        </row>
        <row r="27">
          <cell r="B27" t="str">
            <v>수평곡관</v>
          </cell>
          <cell r="C27" t="str">
            <v>D=100×22½˚</v>
          </cell>
          <cell r="D27" t="str">
            <v xml:space="preserve"> ⊃</v>
          </cell>
          <cell r="E27">
            <v>20</v>
          </cell>
        </row>
        <row r="28">
          <cell r="B28" t="str">
            <v>수평곡관</v>
          </cell>
          <cell r="C28" t="str">
            <v>D=150×22½˚</v>
          </cell>
          <cell r="D28" t="str">
            <v xml:space="preserve"> ⊃</v>
          </cell>
          <cell r="E28">
            <v>4</v>
          </cell>
        </row>
        <row r="29">
          <cell r="B29" t="str">
            <v>수평곡관</v>
          </cell>
          <cell r="C29" t="str">
            <v>D=100×22½˚</v>
          </cell>
          <cell r="D29" t="str">
            <v xml:space="preserve"> ⊃</v>
          </cell>
          <cell r="E29">
            <v>5</v>
          </cell>
        </row>
        <row r="30">
          <cell r="B30" t="str">
            <v>수평곡관</v>
          </cell>
          <cell r="C30" t="str">
            <v>D=100×45˚</v>
          </cell>
          <cell r="D30" t="str">
            <v xml:space="preserve"> ⊃</v>
          </cell>
          <cell r="E30">
            <v>5</v>
          </cell>
        </row>
        <row r="31">
          <cell r="B31" t="str">
            <v>수평곡관</v>
          </cell>
          <cell r="C31" t="str">
            <v>D=150×45˚</v>
          </cell>
          <cell r="D31" t="str">
            <v xml:space="preserve"> ⊃</v>
          </cell>
          <cell r="E31">
            <v>5</v>
          </cell>
        </row>
        <row r="32">
          <cell r="B32" t="str">
            <v>수평곡관</v>
          </cell>
          <cell r="C32" t="str">
            <v>D=100×45˚</v>
          </cell>
          <cell r="D32" t="str">
            <v xml:space="preserve"> ⊃</v>
          </cell>
          <cell r="E32">
            <v>4</v>
          </cell>
        </row>
        <row r="33">
          <cell r="B33" t="str">
            <v>수평곡관</v>
          </cell>
          <cell r="C33" t="str">
            <v>D=100×90˚</v>
          </cell>
          <cell r="D33" t="str">
            <v xml:space="preserve"> ⊃</v>
          </cell>
          <cell r="E33">
            <v>6</v>
          </cell>
        </row>
        <row r="34">
          <cell r="B34" t="str">
            <v>수평곡관</v>
          </cell>
          <cell r="C34" t="str">
            <v>D=100×90˚</v>
          </cell>
          <cell r="D34" t="str">
            <v xml:space="preserve"> ⊃</v>
          </cell>
          <cell r="E34">
            <v>5</v>
          </cell>
        </row>
        <row r="35">
          <cell r="B35" t="str">
            <v>수평곡관</v>
          </cell>
          <cell r="C35" t="str">
            <v>D=100×90˚</v>
          </cell>
          <cell r="D35" t="str">
            <v xml:space="preserve"> ⊃</v>
          </cell>
          <cell r="E35">
            <v>55</v>
          </cell>
        </row>
        <row r="36">
          <cell r="B36" t="str">
            <v>소켓플랜지T형관</v>
          </cell>
          <cell r="C36" t="str">
            <v>D=100×100</v>
          </cell>
          <cell r="E36">
            <v>5</v>
          </cell>
        </row>
        <row r="37">
          <cell r="B37" t="str">
            <v>소켓플랜지T형관</v>
          </cell>
          <cell r="C37" t="str">
            <v>D=100×100</v>
          </cell>
          <cell r="E37">
            <v>5</v>
          </cell>
        </row>
        <row r="38">
          <cell r="B38" t="str">
            <v>소켓플랜지T형관</v>
          </cell>
          <cell r="C38" t="str">
            <v>D=100×100</v>
          </cell>
          <cell r="E38">
            <v>6</v>
          </cell>
        </row>
        <row r="39">
          <cell r="B39" t="str">
            <v>소켓T형관</v>
          </cell>
          <cell r="C39" t="str">
            <v>D=100×100</v>
          </cell>
          <cell r="E39">
            <v>4</v>
          </cell>
        </row>
        <row r="40">
          <cell r="B40" t="str">
            <v>소켓T형관</v>
          </cell>
          <cell r="C40" t="str">
            <v>D=100×100</v>
          </cell>
          <cell r="E40">
            <v>5</v>
          </cell>
        </row>
        <row r="41">
          <cell r="B41" t="str">
            <v>소켓T형관</v>
          </cell>
          <cell r="C41" t="str">
            <v>D=100×100</v>
          </cell>
          <cell r="E41">
            <v>8</v>
          </cell>
        </row>
        <row r="42">
          <cell r="B42" t="str">
            <v>이 음 관</v>
          </cell>
          <cell r="C42" t="str">
            <v>D=80</v>
          </cell>
          <cell r="E42">
            <v>9</v>
          </cell>
        </row>
        <row r="43">
          <cell r="B43" t="str">
            <v>이 음 관</v>
          </cell>
          <cell r="C43" t="str">
            <v>D=100</v>
          </cell>
          <cell r="E43">
            <v>10</v>
          </cell>
        </row>
        <row r="44">
          <cell r="B44" t="str">
            <v>이 음 관</v>
          </cell>
          <cell r="C44" t="str">
            <v>D=150</v>
          </cell>
          <cell r="E44">
            <v>12</v>
          </cell>
        </row>
        <row r="45">
          <cell r="B45" t="str">
            <v>이 음 관</v>
          </cell>
          <cell r="C45" t="str">
            <v>D=200</v>
          </cell>
          <cell r="E45">
            <v>18</v>
          </cell>
        </row>
        <row r="46">
          <cell r="B46" t="str">
            <v>이 음 관</v>
          </cell>
          <cell r="C46" t="str">
            <v>D=250</v>
          </cell>
          <cell r="E46">
            <v>25</v>
          </cell>
        </row>
        <row r="47">
          <cell r="B47" t="str">
            <v>이 음 관</v>
          </cell>
          <cell r="C47" t="str">
            <v>D=300</v>
          </cell>
          <cell r="E47">
            <v>34</v>
          </cell>
        </row>
        <row r="48">
          <cell r="B48" t="str">
            <v>플랜지관</v>
          </cell>
          <cell r="C48" t="str">
            <v>D=80</v>
          </cell>
          <cell r="E48">
            <v>7.9</v>
          </cell>
        </row>
        <row r="49">
          <cell r="B49" t="str">
            <v>플랜지관</v>
          </cell>
          <cell r="C49" t="str">
            <v>D=100</v>
          </cell>
          <cell r="E49">
            <v>9.6</v>
          </cell>
        </row>
        <row r="50">
          <cell r="B50" t="str">
            <v>플랜지관</v>
          </cell>
          <cell r="C50" t="str">
            <v>D=150</v>
          </cell>
          <cell r="E50">
            <v>15.6</v>
          </cell>
        </row>
        <row r="51">
          <cell r="B51" t="str">
            <v>플랜지관</v>
          </cell>
          <cell r="C51" t="str">
            <v>D=200</v>
          </cell>
          <cell r="E51">
            <v>22.5</v>
          </cell>
        </row>
        <row r="52">
          <cell r="B52" t="str">
            <v>플랜지관</v>
          </cell>
          <cell r="C52" t="str">
            <v>D=250</v>
          </cell>
          <cell r="E52">
            <v>31.5</v>
          </cell>
        </row>
        <row r="53">
          <cell r="B53" t="str">
            <v>플랜지관</v>
          </cell>
          <cell r="C53" t="str">
            <v>D=300</v>
          </cell>
          <cell r="E53">
            <v>41.5</v>
          </cell>
        </row>
        <row r="54">
          <cell r="B54" t="str">
            <v>제 수 변</v>
          </cell>
          <cell r="C54" t="str">
            <v>D=80</v>
          </cell>
          <cell r="E54">
            <v>42</v>
          </cell>
        </row>
        <row r="55">
          <cell r="B55" t="str">
            <v>제 수 변</v>
          </cell>
          <cell r="C55" t="str">
            <v>D=100</v>
          </cell>
          <cell r="E55">
            <v>50</v>
          </cell>
        </row>
        <row r="56">
          <cell r="B56" t="str">
            <v>제 수 변</v>
          </cell>
          <cell r="C56" t="str">
            <v>D=150</v>
          </cell>
          <cell r="E56">
            <v>90</v>
          </cell>
        </row>
        <row r="57">
          <cell r="B57" t="str">
            <v>제 수 변</v>
          </cell>
          <cell r="C57" t="str">
            <v>D=200</v>
          </cell>
          <cell r="E57">
            <v>140</v>
          </cell>
        </row>
        <row r="58">
          <cell r="B58" t="str">
            <v>제 수 변</v>
          </cell>
          <cell r="C58" t="str">
            <v>D=300</v>
          </cell>
          <cell r="E58">
            <v>280</v>
          </cell>
        </row>
        <row r="59">
          <cell r="B59" t="str">
            <v>공 기 변</v>
          </cell>
          <cell r="C59" t="str">
            <v>D=80</v>
          </cell>
          <cell r="E59">
            <v>94</v>
          </cell>
        </row>
        <row r="60">
          <cell r="B60" t="str">
            <v>공 기 변</v>
          </cell>
          <cell r="C60" t="str">
            <v>D=100</v>
          </cell>
          <cell r="E60">
            <v>110</v>
          </cell>
        </row>
        <row r="61">
          <cell r="B61" t="str">
            <v>단    관</v>
          </cell>
          <cell r="C61" t="str">
            <v>D=80</v>
          </cell>
          <cell r="E61">
            <v>13.5</v>
          </cell>
          <cell r="H61">
            <v>0.8</v>
          </cell>
          <cell r="I61" t="str">
            <v>×</v>
          </cell>
          <cell r="J61" t="str">
            <v>＋</v>
          </cell>
        </row>
        <row r="62">
          <cell r="B62" t="str">
            <v>플랜지단관</v>
          </cell>
          <cell r="C62" t="str">
            <v>D=100</v>
          </cell>
          <cell r="E62">
            <v>16.399999999999999</v>
          </cell>
          <cell r="H62">
            <v>0.8</v>
          </cell>
          <cell r="I62" t="str">
            <v>×</v>
          </cell>
          <cell r="J62" t="str">
            <v>＋</v>
          </cell>
        </row>
        <row r="63">
          <cell r="B63" t="str">
            <v>플랜지단관</v>
          </cell>
          <cell r="C63" t="str">
            <v>D=100</v>
          </cell>
          <cell r="E63">
            <v>16.399999999999999</v>
          </cell>
          <cell r="H63">
            <v>0.92</v>
          </cell>
          <cell r="I63" t="str">
            <v>×</v>
          </cell>
          <cell r="J63" t="str">
            <v>＋</v>
          </cell>
        </row>
        <row r="64">
          <cell r="B64" t="str">
            <v>플랜지단관</v>
          </cell>
          <cell r="C64" t="str">
            <v>D=100</v>
          </cell>
          <cell r="E64">
            <v>16.399999999999999</v>
          </cell>
          <cell r="H64">
            <v>-2</v>
          </cell>
          <cell r="I64" t="str">
            <v>×</v>
          </cell>
          <cell r="J64" t="str">
            <v>＋</v>
          </cell>
        </row>
        <row r="65">
          <cell r="B65" t="str">
            <v>플랜지단관</v>
          </cell>
          <cell r="C65" t="str">
            <v>D=100</v>
          </cell>
          <cell r="E65">
            <v>16.399999999999999</v>
          </cell>
          <cell r="H65">
            <v>-1</v>
          </cell>
          <cell r="I65" t="str">
            <v>×</v>
          </cell>
          <cell r="J65" t="str">
            <v>＋</v>
          </cell>
        </row>
        <row r="66">
          <cell r="B66" t="str">
            <v>플랜지단관</v>
          </cell>
          <cell r="C66" t="str">
            <v>D=100</v>
          </cell>
          <cell r="E66">
            <v>16.399999999999999</v>
          </cell>
          <cell r="H66">
            <v>0</v>
          </cell>
          <cell r="I66" t="str">
            <v>×</v>
          </cell>
          <cell r="J66" t="str">
            <v>＋</v>
          </cell>
        </row>
        <row r="67">
          <cell r="B67" t="str">
            <v>플랜지단관</v>
          </cell>
          <cell r="C67" t="str">
            <v>D=100</v>
          </cell>
          <cell r="E67">
            <v>16.399999999999999</v>
          </cell>
          <cell r="H67">
            <v>1</v>
          </cell>
          <cell r="I67" t="str">
            <v>×</v>
          </cell>
          <cell r="J67" t="str">
            <v>＋</v>
          </cell>
        </row>
        <row r="68">
          <cell r="B68" t="str">
            <v>플랜지단관</v>
          </cell>
          <cell r="C68" t="str">
            <v>D=100</v>
          </cell>
          <cell r="E68">
            <v>16.399999999999999</v>
          </cell>
          <cell r="H68">
            <v>2</v>
          </cell>
          <cell r="I68" t="str">
            <v>×</v>
          </cell>
          <cell r="J68" t="str">
            <v>＋</v>
          </cell>
        </row>
        <row r="69">
          <cell r="B69" t="str">
            <v>단    관</v>
          </cell>
          <cell r="C69" t="str">
            <v>D=125</v>
          </cell>
          <cell r="E69">
            <v>21</v>
          </cell>
          <cell r="H69">
            <v>3</v>
          </cell>
          <cell r="I69" t="str">
            <v>×</v>
          </cell>
          <cell r="J69" t="str">
            <v>＋</v>
          </cell>
        </row>
        <row r="70">
          <cell r="B70" t="str">
            <v>단    관</v>
          </cell>
          <cell r="C70" t="str">
            <v>D=150</v>
          </cell>
          <cell r="E70">
            <v>25.3</v>
          </cell>
          <cell r="H70">
            <v>4</v>
          </cell>
          <cell r="I70" t="str">
            <v>×</v>
          </cell>
          <cell r="J70" t="str">
            <v>＋</v>
          </cell>
        </row>
        <row r="71">
          <cell r="B71" t="str">
            <v>단    관</v>
          </cell>
          <cell r="C71" t="str">
            <v>D=200</v>
          </cell>
          <cell r="E71">
            <v>33.799999999999997</v>
          </cell>
          <cell r="H71">
            <v>5</v>
          </cell>
          <cell r="I71" t="str">
            <v>×</v>
          </cell>
          <cell r="J71" t="str">
            <v>＋</v>
          </cell>
        </row>
        <row r="72">
          <cell r="B72" t="str">
            <v>단    관</v>
          </cell>
          <cell r="C72" t="str">
            <v>D=250</v>
          </cell>
          <cell r="E72">
            <v>44.3</v>
          </cell>
          <cell r="H72">
            <v>6</v>
          </cell>
          <cell r="I72" t="str">
            <v>×</v>
          </cell>
          <cell r="J72" t="str">
            <v>＋</v>
          </cell>
        </row>
        <row r="73">
          <cell r="B73" t="str">
            <v>단    관</v>
          </cell>
          <cell r="C73" t="str">
            <v>D=300</v>
          </cell>
          <cell r="E73">
            <v>56.3</v>
          </cell>
          <cell r="H73">
            <v>7</v>
          </cell>
          <cell r="I73" t="str">
            <v>×</v>
          </cell>
          <cell r="J73" t="str">
            <v>＋</v>
          </cell>
        </row>
        <row r="74">
          <cell r="B74" t="str">
            <v>단    관</v>
          </cell>
          <cell r="C74" t="str">
            <v>D=350</v>
          </cell>
          <cell r="E74">
            <v>69.599999999999994</v>
          </cell>
          <cell r="H74">
            <v>8</v>
          </cell>
          <cell r="I74" t="str">
            <v>×</v>
          </cell>
          <cell r="J74" t="str">
            <v>＋</v>
          </cell>
        </row>
        <row r="75">
          <cell r="B75" t="str">
            <v>단    관</v>
          </cell>
          <cell r="C75" t="str">
            <v>D=400</v>
          </cell>
          <cell r="E75">
            <v>83.7</v>
          </cell>
          <cell r="H75">
            <v>9</v>
          </cell>
          <cell r="I75" t="str">
            <v>×</v>
          </cell>
          <cell r="J75" t="str">
            <v>＋</v>
          </cell>
        </row>
        <row r="76">
          <cell r="B76" t="str">
            <v>단    관</v>
          </cell>
          <cell r="C76" t="str">
            <v>D=450</v>
          </cell>
          <cell r="E76">
            <v>98.5</v>
          </cell>
          <cell r="H76">
            <v>10</v>
          </cell>
          <cell r="I76" t="str">
            <v>×</v>
          </cell>
          <cell r="J76" t="str">
            <v>＋</v>
          </cell>
        </row>
        <row r="77">
          <cell r="B77" t="str">
            <v>단    관</v>
          </cell>
          <cell r="C77" t="str">
            <v>D=500</v>
          </cell>
          <cell r="E77">
            <v>115.6</v>
          </cell>
          <cell r="H77">
            <v>11</v>
          </cell>
          <cell r="I77" t="str">
            <v>×</v>
          </cell>
          <cell r="J77" t="str">
            <v>＋</v>
          </cell>
        </row>
        <row r="78">
          <cell r="B78" t="str">
            <v>단    관</v>
          </cell>
          <cell r="C78" t="str">
            <v>D=600</v>
          </cell>
          <cell r="E78">
            <v>152</v>
          </cell>
          <cell r="H78">
            <v>12</v>
          </cell>
          <cell r="I78" t="str">
            <v>×</v>
          </cell>
          <cell r="J78" t="str">
            <v>＋</v>
          </cell>
        </row>
        <row r="79">
          <cell r="B79" t="str">
            <v>단    관</v>
          </cell>
          <cell r="C79" t="str">
            <v>D=700</v>
          </cell>
          <cell r="E79">
            <v>193</v>
          </cell>
          <cell r="H79">
            <v>13</v>
          </cell>
          <cell r="I79" t="str">
            <v>×</v>
          </cell>
          <cell r="J79" t="str">
            <v>＋</v>
          </cell>
        </row>
        <row r="80">
          <cell r="B80" t="str">
            <v>단    관</v>
          </cell>
          <cell r="C80" t="str">
            <v>D=800</v>
          </cell>
          <cell r="E80">
            <v>238.7</v>
          </cell>
          <cell r="H80">
            <v>14</v>
          </cell>
          <cell r="I80" t="str">
            <v>×</v>
          </cell>
          <cell r="J80" t="str">
            <v>＋</v>
          </cell>
        </row>
        <row r="81">
          <cell r="B81" t="str">
            <v>단    관</v>
          </cell>
          <cell r="C81" t="str">
            <v>D=900</v>
          </cell>
          <cell r="E81">
            <v>288.7</v>
          </cell>
          <cell r="H81">
            <v>15</v>
          </cell>
          <cell r="I81" t="str">
            <v>×</v>
          </cell>
          <cell r="J81" t="str">
            <v>＋</v>
          </cell>
        </row>
        <row r="82">
          <cell r="B82" t="str">
            <v>단    관</v>
          </cell>
          <cell r="C82" t="str">
            <v>D=1000</v>
          </cell>
          <cell r="E82">
            <v>343.2</v>
          </cell>
          <cell r="H82">
            <v>16</v>
          </cell>
          <cell r="I82" t="str">
            <v>×</v>
          </cell>
          <cell r="J82" t="str">
            <v>＋</v>
          </cell>
        </row>
        <row r="83">
          <cell r="B83" t="str">
            <v>단    관</v>
          </cell>
          <cell r="C83" t="str">
            <v>D=1100</v>
          </cell>
          <cell r="E83">
            <v>399.5</v>
          </cell>
          <cell r="H83">
            <v>17</v>
          </cell>
          <cell r="I83" t="str">
            <v>×</v>
          </cell>
          <cell r="J83" t="str">
            <v>＋</v>
          </cell>
        </row>
        <row r="84">
          <cell r="B84" t="str">
            <v>단    관</v>
          </cell>
          <cell r="C84" t="str">
            <v>D=1200</v>
          </cell>
          <cell r="E84">
            <v>465.9</v>
          </cell>
          <cell r="H84">
            <v>18</v>
          </cell>
          <cell r="I84" t="str">
            <v>×</v>
          </cell>
          <cell r="J84" t="str">
            <v>＋</v>
          </cell>
        </row>
        <row r="85">
          <cell r="B85" t="str">
            <v>없음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우배수"/>
      <sheetName val="계산식"/>
      <sheetName val="총괄내역서"/>
      <sheetName val="2000년1차"/>
      <sheetName val="기초자료"/>
      <sheetName val="3.하중계산"/>
      <sheetName val="설계조건"/>
      <sheetName val="집계표"/>
      <sheetName val="우수"/>
      <sheetName val="DATE"/>
      <sheetName val="교각"/>
      <sheetName val="약품공급2"/>
      <sheetName val="전기"/>
      <sheetName val="수량산출"/>
      <sheetName val="구분표"/>
      <sheetName val="내역서"/>
      <sheetName val="토목"/>
      <sheetName val="SORCE1"/>
      <sheetName val="신당동집계표"/>
      <sheetName val="데리네이타현황"/>
      <sheetName val="토공(우물통,기타) "/>
      <sheetName val="토사(PE)"/>
      <sheetName val="내역"/>
      <sheetName val="말뚝지지력산정"/>
      <sheetName val="입력변수"/>
      <sheetName val="97노임단가"/>
      <sheetName val="입력란"/>
      <sheetName val="S.중기사용료"/>
      <sheetName val="단가"/>
      <sheetName val="기둥(원형)"/>
      <sheetName val="기초공"/>
      <sheetName val="남한강 2단계 전체분"/>
      <sheetName val="2차 설계내역서(변경)"/>
      <sheetName val="기계경비"/>
      <sheetName val="조건표"/>
      <sheetName val="노임단가명세서"/>
      <sheetName val="Sheet1"/>
      <sheetName val="Sheet1 (2)"/>
      <sheetName val="대로근거"/>
      <sheetName val="단가비교표"/>
      <sheetName val="A LINE"/>
      <sheetName val="시점교대"/>
      <sheetName val="직접인건비호표(항목60%)"/>
      <sheetName val="직접경비호표"/>
      <sheetName val="우배수토공"/>
      <sheetName val="터파기및재료"/>
      <sheetName val="지구단위계획"/>
      <sheetName val="표지"/>
      <sheetName val="환경인력"/>
      <sheetName val="종배수관"/>
      <sheetName val="부대내역"/>
      <sheetName val="변경원가서갑"/>
      <sheetName val="기계경비단가"/>
      <sheetName val="단가표"/>
      <sheetName val="복구경비"/>
      <sheetName val="6PILE  (돌출)"/>
      <sheetName val="NBU7-A1"/>
      <sheetName val="정부노임단가"/>
      <sheetName val="BID"/>
      <sheetName val="상수도토공집계표"/>
      <sheetName val="중기사용료"/>
      <sheetName val="적용노임"/>
      <sheetName val="일반자재"/>
      <sheetName val="실행철강하도"/>
      <sheetName val="금광1터널"/>
      <sheetName val="중기조종사 단위단가"/>
      <sheetName val="간지"/>
      <sheetName val="산식3"/>
      <sheetName val="노임단가"/>
      <sheetName val="일위대가"/>
      <sheetName val="하중계산"/>
      <sheetName val="INPUT"/>
      <sheetName val="ABUT수량-A1"/>
      <sheetName val="1호맨홀토공"/>
      <sheetName val="3.바닥판설계"/>
      <sheetName val="플랜트 설치"/>
      <sheetName val="STEEL BOX 단면설계(SEC.8)"/>
      <sheetName val="Baby일위대가"/>
      <sheetName val="실행내역서"/>
      <sheetName val="원가입력"/>
      <sheetName val="평균터파기고(1-2,ASP)"/>
      <sheetName val="1,2공구원가계산서"/>
      <sheetName val="2공구산출내역"/>
      <sheetName val="1공구산출내역서"/>
      <sheetName val="wall"/>
      <sheetName val="맨홀수량산출"/>
      <sheetName val="피벗테이블데이터분석"/>
      <sheetName val="평균높이산출근거"/>
      <sheetName val="횡배수관위치조서"/>
      <sheetName val="8.PILE  (돌출)"/>
      <sheetName val="하수급견적대비"/>
      <sheetName val="설계내역서"/>
      <sheetName val="데이타"/>
      <sheetName val="수안보-MBR1"/>
      <sheetName val="원형1호맨홀토공수량"/>
      <sheetName val="교각계산"/>
      <sheetName val="세부내역(직접인건비)"/>
      <sheetName val="세부내역(직접경비)"/>
      <sheetName val="0+232"/>
      <sheetName val="직원자료"/>
      <sheetName val="업종분류"/>
      <sheetName val="장비분류"/>
      <sheetName val="C.배수관공"/>
      <sheetName val="우수공"/>
      <sheetName val="직노"/>
      <sheetName val="99노임단가"/>
      <sheetName val="집수정(0.7)"/>
      <sheetName val="기준액"/>
      <sheetName val="석축설면"/>
      <sheetName val="법면단"/>
      <sheetName val="관로공표지"/>
      <sheetName val="1.1설계기준"/>
      <sheetName val="통합지표"/>
      <sheetName val="접속도로1"/>
      <sheetName val="금액내역서"/>
      <sheetName val="범용개발순소요비용"/>
      <sheetName val="산출근거"/>
      <sheetName val="N賃率-職"/>
      <sheetName val="진주방향"/>
      <sheetName val="견적을지"/>
      <sheetName val="DATA 입력부"/>
      <sheetName val="A2"/>
      <sheetName val="날개벽"/>
      <sheetName val="기계"/>
      <sheetName val="화재 탐지 설비"/>
      <sheetName val="도근좌표"/>
      <sheetName val="3.공통공사대비"/>
      <sheetName val="제수변수량"/>
      <sheetName val="공기변수량"/>
      <sheetName val="건축내역"/>
      <sheetName val="건축공사실행"/>
      <sheetName val="H PILE수량"/>
      <sheetName val="H-PILE수량집계"/>
      <sheetName val="옹벽기초자료"/>
      <sheetName val="현황산출서"/>
      <sheetName val="우각부보강"/>
      <sheetName val="환경일위대가"/>
      <sheetName val="직접경비"/>
      <sheetName val="터널조도"/>
      <sheetName val="기자재수량"/>
      <sheetName val="순성토"/>
      <sheetName val="#4 노임단가"/>
      <sheetName val="8.석축단위(H=1.5M)"/>
      <sheetName val="#REF"/>
      <sheetName val="품"/>
      <sheetName val="일반공사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E"/>
      <sheetName val="토공유용계획"/>
      <sheetName val="유입관로집계"/>
      <sheetName val="유입관로토적"/>
      <sheetName val="처리장집계"/>
      <sheetName val="처리장토적"/>
      <sheetName val="진입도로토적"/>
    </sheetNames>
    <sheetDataSet>
      <sheetData sheetId="0" refreshError="1">
        <row r="61">
          <cell r="G61">
            <v>4.3</v>
          </cell>
        </row>
        <row r="62">
          <cell r="G62">
            <v>4.7</v>
          </cell>
        </row>
        <row r="63">
          <cell r="G63">
            <v>5.9</v>
          </cell>
        </row>
        <row r="64">
          <cell r="G64">
            <v>6</v>
          </cell>
        </row>
        <row r="65">
          <cell r="G65">
            <v>9.4</v>
          </cell>
        </row>
        <row r="66">
          <cell r="G66">
            <v>13.3</v>
          </cell>
        </row>
        <row r="67">
          <cell r="G67">
            <v>16.399999999999999</v>
          </cell>
        </row>
        <row r="68">
          <cell r="G68">
            <v>20.7</v>
          </cell>
        </row>
        <row r="69">
          <cell r="G69">
            <v>24.3</v>
          </cell>
        </row>
        <row r="70">
          <cell r="G70">
            <v>30.2</v>
          </cell>
        </row>
        <row r="71">
          <cell r="G71">
            <v>37.4</v>
          </cell>
        </row>
        <row r="72">
          <cell r="G72">
            <v>53.8</v>
          </cell>
        </row>
        <row r="73">
          <cell r="G73">
            <v>77.099999999999994</v>
          </cell>
        </row>
        <row r="74">
          <cell r="G74">
            <v>94.9</v>
          </cell>
        </row>
        <row r="75">
          <cell r="G75">
            <v>116.5</v>
          </cell>
        </row>
        <row r="76">
          <cell r="G76">
            <v>150.9</v>
          </cell>
        </row>
        <row r="77">
          <cell r="G77">
            <v>156</v>
          </cell>
        </row>
        <row r="78">
          <cell r="G78">
            <v>175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4D9AA0A2-E2EA-48ED-9874-302C115660E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C5F29CC-32A1-41AA-9C6A-370632793E5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F74322-EF58-4C45-81B8-35A32601B5F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A5C6B-1AD6-43C9-A877-7E74D0C619D0}">
  <sheetPr codeName="Sheet1"/>
  <dimension ref="A1:N313"/>
  <sheetViews>
    <sheetView tabSelected="1" workbookViewId="0">
      <selection activeCell="AG21" sqref="AG21"/>
    </sheetView>
  </sheetViews>
  <sheetFormatPr defaultRowHeight="16.5"/>
  <cols>
    <col min="1" max="1" width="17.125" bestFit="1" customWidth="1"/>
    <col min="2" max="2" width="9.25" bestFit="1" customWidth="1"/>
    <col min="3" max="3" width="12.875" bestFit="1" customWidth="1"/>
    <col min="4" max="4" width="5.5" bestFit="1" customWidth="1"/>
    <col min="5" max="6" width="4.5" bestFit="1" customWidth="1"/>
    <col min="7" max="11" width="5.5" bestFit="1" customWidth="1"/>
    <col min="12" max="12" width="9.375" bestFit="1" customWidth="1"/>
    <col min="13" max="13" width="24.25" bestFit="1" customWidth="1"/>
    <col min="14" max="14" width="10.25" bestFit="1" customWidth="1"/>
  </cols>
  <sheetData>
    <row r="1" spans="1:14">
      <c r="A1" t="s">
        <v>124</v>
      </c>
      <c r="B1" t="s">
        <v>125</v>
      </c>
      <c r="C1" t="s">
        <v>126</v>
      </c>
      <c r="D1" t="s">
        <v>15</v>
      </c>
      <c r="E1" t="s">
        <v>16</v>
      </c>
      <c r="F1" t="s">
        <v>18</v>
      </c>
      <c r="G1" t="s">
        <v>29</v>
      </c>
      <c r="H1" t="s">
        <v>30</v>
      </c>
      <c r="I1" t="s">
        <v>31</v>
      </c>
      <c r="J1" t="s">
        <v>122</v>
      </c>
      <c r="K1" t="s">
        <v>123</v>
      </c>
      <c r="L1" t="s">
        <v>127</v>
      </c>
      <c r="M1" t="s">
        <v>128</v>
      </c>
      <c r="N1" t="s">
        <v>129</v>
      </c>
    </row>
    <row r="2" spans="1:14">
      <c r="A2" t="s">
        <v>26</v>
      </c>
      <c r="B2" t="s">
        <v>130</v>
      </c>
      <c r="C2" t="s">
        <v>131</v>
      </c>
      <c r="D2">
        <v>0.3</v>
      </c>
      <c r="E2">
        <v>0</v>
      </c>
      <c r="F2">
        <v>0</v>
      </c>
      <c r="G2">
        <v>0.3</v>
      </c>
      <c r="H2">
        <v>0</v>
      </c>
      <c r="I2">
        <v>0</v>
      </c>
      <c r="J2">
        <v>4.9499999999999904</v>
      </c>
      <c r="K2" s="1">
        <v>0</v>
      </c>
      <c r="L2" t="s">
        <v>132</v>
      </c>
      <c r="M2" t="s">
        <v>131</v>
      </c>
      <c r="N2">
        <v>825923</v>
      </c>
    </row>
    <row r="3" spans="1:14">
      <c r="A3" t="s">
        <v>26</v>
      </c>
      <c r="B3" t="s">
        <v>130</v>
      </c>
      <c r="C3" t="s">
        <v>131</v>
      </c>
      <c r="D3">
        <v>0.3</v>
      </c>
      <c r="E3">
        <v>0</v>
      </c>
      <c r="F3">
        <v>0</v>
      </c>
      <c r="G3">
        <v>0.3</v>
      </c>
      <c r="H3">
        <v>0</v>
      </c>
      <c r="I3">
        <v>0</v>
      </c>
      <c r="J3">
        <v>4.9499999999999904</v>
      </c>
      <c r="K3" s="1">
        <v>0</v>
      </c>
      <c r="L3" t="s">
        <v>132</v>
      </c>
      <c r="M3" t="s">
        <v>131</v>
      </c>
      <c r="N3">
        <v>825924</v>
      </c>
    </row>
    <row r="4" spans="1:14">
      <c r="A4" t="s">
        <v>26</v>
      </c>
      <c r="B4" t="s">
        <v>130</v>
      </c>
      <c r="C4" t="s">
        <v>131</v>
      </c>
      <c r="D4">
        <v>0.3</v>
      </c>
      <c r="E4">
        <v>0</v>
      </c>
      <c r="F4">
        <v>0</v>
      </c>
      <c r="G4">
        <v>0.3</v>
      </c>
      <c r="H4">
        <v>0</v>
      </c>
      <c r="I4">
        <v>0</v>
      </c>
      <c r="J4">
        <v>4.9499999999999904</v>
      </c>
      <c r="K4" s="2">
        <v>0</v>
      </c>
      <c r="L4" t="s">
        <v>132</v>
      </c>
      <c r="M4" t="s">
        <v>131</v>
      </c>
      <c r="N4">
        <v>825925</v>
      </c>
    </row>
    <row r="5" spans="1:14">
      <c r="A5" t="s">
        <v>26</v>
      </c>
      <c r="B5" t="s">
        <v>130</v>
      </c>
      <c r="C5" t="s">
        <v>131</v>
      </c>
      <c r="D5">
        <v>0.3</v>
      </c>
      <c r="E5">
        <v>0</v>
      </c>
      <c r="F5">
        <v>0</v>
      </c>
      <c r="G5">
        <v>0.3</v>
      </c>
      <c r="H5">
        <v>0</v>
      </c>
      <c r="I5">
        <v>0</v>
      </c>
      <c r="J5">
        <v>4.9499999999999904</v>
      </c>
      <c r="K5">
        <v>0</v>
      </c>
      <c r="L5" t="s">
        <v>132</v>
      </c>
      <c r="M5" t="s">
        <v>131</v>
      </c>
      <c r="N5">
        <v>825926</v>
      </c>
    </row>
    <row r="6" spans="1:14">
      <c r="A6" t="s">
        <v>26</v>
      </c>
      <c r="B6" t="s">
        <v>130</v>
      </c>
      <c r="C6" t="s">
        <v>131</v>
      </c>
      <c r="D6">
        <v>0.3</v>
      </c>
      <c r="E6">
        <v>0</v>
      </c>
      <c r="F6">
        <v>0</v>
      </c>
      <c r="G6">
        <v>0.3</v>
      </c>
      <c r="H6">
        <v>0</v>
      </c>
      <c r="I6">
        <v>0</v>
      </c>
      <c r="J6">
        <v>4.9499999999999904</v>
      </c>
      <c r="K6">
        <v>0</v>
      </c>
      <c r="L6" t="s">
        <v>132</v>
      </c>
      <c r="M6" t="s">
        <v>131</v>
      </c>
      <c r="N6">
        <v>825927</v>
      </c>
    </row>
    <row r="7" spans="1:14">
      <c r="A7" t="s">
        <v>26</v>
      </c>
      <c r="B7" t="s">
        <v>130</v>
      </c>
      <c r="C7" t="s">
        <v>131</v>
      </c>
      <c r="D7">
        <v>0.3</v>
      </c>
      <c r="E7">
        <v>0</v>
      </c>
      <c r="F7">
        <v>0</v>
      </c>
      <c r="G7">
        <v>0.3</v>
      </c>
      <c r="H7">
        <v>0</v>
      </c>
      <c r="I7">
        <v>0</v>
      </c>
      <c r="J7">
        <v>4.9499999999999904</v>
      </c>
      <c r="K7">
        <v>0</v>
      </c>
      <c r="L7" t="s">
        <v>132</v>
      </c>
      <c r="M7" t="s">
        <v>131</v>
      </c>
      <c r="N7">
        <v>825928</v>
      </c>
    </row>
    <row r="8" spans="1:14">
      <c r="A8" t="s">
        <v>26</v>
      </c>
      <c r="B8" t="s">
        <v>130</v>
      </c>
      <c r="C8" t="s">
        <v>131</v>
      </c>
      <c r="D8">
        <v>0.3</v>
      </c>
      <c r="E8">
        <v>0</v>
      </c>
      <c r="F8">
        <v>0</v>
      </c>
      <c r="G8">
        <v>0.3</v>
      </c>
      <c r="H8">
        <v>0</v>
      </c>
      <c r="I8">
        <v>0</v>
      </c>
      <c r="J8">
        <v>4.9499999999999904</v>
      </c>
      <c r="K8">
        <v>0</v>
      </c>
      <c r="L8" t="s">
        <v>132</v>
      </c>
      <c r="M8" t="s">
        <v>131</v>
      </c>
      <c r="N8">
        <v>825929</v>
      </c>
    </row>
    <row r="9" spans="1:14">
      <c r="A9" t="s">
        <v>26</v>
      </c>
      <c r="B9" t="s">
        <v>130</v>
      </c>
      <c r="C9" t="s">
        <v>131</v>
      </c>
      <c r="D9">
        <v>0.3</v>
      </c>
      <c r="E9">
        <v>0</v>
      </c>
      <c r="F9">
        <v>0</v>
      </c>
      <c r="G9">
        <v>0.3</v>
      </c>
      <c r="H9">
        <v>0</v>
      </c>
      <c r="I9">
        <v>0</v>
      </c>
      <c r="J9">
        <v>4.9499999999999904</v>
      </c>
      <c r="K9">
        <v>0</v>
      </c>
      <c r="L9" t="s">
        <v>132</v>
      </c>
      <c r="M9" t="s">
        <v>131</v>
      </c>
      <c r="N9">
        <v>825930</v>
      </c>
    </row>
    <row r="10" spans="1:14">
      <c r="A10" t="s">
        <v>26</v>
      </c>
      <c r="B10" t="s">
        <v>130</v>
      </c>
      <c r="C10" t="s">
        <v>131</v>
      </c>
      <c r="D10">
        <v>0.3</v>
      </c>
      <c r="E10">
        <v>0</v>
      </c>
      <c r="F10">
        <v>0</v>
      </c>
      <c r="G10">
        <v>0.3</v>
      </c>
      <c r="H10">
        <v>0</v>
      </c>
      <c r="I10">
        <v>0</v>
      </c>
      <c r="J10">
        <v>4.9499999999999904</v>
      </c>
      <c r="K10">
        <v>0</v>
      </c>
      <c r="L10" t="s">
        <v>132</v>
      </c>
      <c r="M10" t="s">
        <v>131</v>
      </c>
      <c r="N10">
        <v>825931</v>
      </c>
    </row>
    <row r="11" spans="1:14">
      <c r="A11" t="s">
        <v>26</v>
      </c>
      <c r="B11" t="s">
        <v>130</v>
      </c>
      <c r="C11" t="s">
        <v>131</v>
      </c>
      <c r="D11">
        <v>0.3</v>
      </c>
      <c r="E11">
        <v>0</v>
      </c>
      <c r="F11">
        <v>0</v>
      </c>
      <c r="G11">
        <v>0.3</v>
      </c>
      <c r="H11">
        <v>0</v>
      </c>
      <c r="I11">
        <v>0</v>
      </c>
      <c r="J11">
        <v>4.9499999999999904</v>
      </c>
      <c r="K11">
        <v>0</v>
      </c>
      <c r="L11" t="s">
        <v>132</v>
      </c>
      <c r="M11" t="s">
        <v>131</v>
      </c>
      <c r="N11">
        <v>825932</v>
      </c>
    </row>
    <row r="12" spans="1:14">
      <c r="A12" t="s">
        <v>26</v>
      </c>
      <c r="B12" t="s">
        <v>130</v>
      </c>
      <c r="C12" t="s">
        <v>131</v>
      </c>
      <c r="D12">
        <v>0.3</v>
      </c>
      <c r="E12">
        <v>0</v>
      </c>
      <c r="F12">
        <v>0</v>
      </c>
      <c r="G12">
        <v>0.3</v>
      </c>
      <c r="H12">
        <v>0</v>
      </c>
      <c r="I12">
        <v>0</v>
      </c>
      <c r="J12">
        <v>4.9499999999999904</v>
      </c>
      <c r="K12">
        <v>0</v>
      </c>
      <c r="L12" t="s">
        <v>132</v>
      </c>
      <c r="M12" t="s">
        <v>131</v>
      </c>
      <c r="N12">
        <v>825933</v>
      </c>
    </row>
    <row r="13" spans="1:14">
      <c r="A13" t="s">
        <v>26</v>
      </c>
      <c r="B13" t="s">
        <v>130</v>
      </c>
      <c r="C13" t="s">
        <v>131</v>
      </c>
      <c r="D13">
        <v>0.3</v>
      </c>
      <c r="E13">
        <v>0</v>
      </c>
      <c r="F13">
        <v>0</v>
      </c>
      <c r="G13">
        <v>0.3</v>
      </c>
      <c r="H13">
        <v>0</v>
      </c>
      <c r="I13">
        <v>0</v>
      </c>
      <c r="J13">
        <v>4.9499999999999904</v>
      </c>
      <c r="K13">
        <v>0</v>
      </c>
      <c r="L13" t="s">
        <v>132</v>
      </c>
      <c r="M13" t="s">
        <v>131</v>
      </c>
      <c r="N13">
        <v>825934</v>
      </c>
    </row>
    <row r="14" spans="1:14">
      <c r="A14" t="s">
        <v>26</v>
      </c>
      <c r="B14" t="s">
        <v>130</v>
      </c>
      <c r="C14" t="s">
        <v>131</v>
      </c>
      <c r="D14">
        <v>0.3</v>
      </c>
      <c r="E14">
        <v>0</v>
      </c>
      <c r="F14">
        <v>0</v>
      </c>
      <c r="G14">
        <v>0.3</v>
      </c>
      <c r="H14">
        <v>0</v>
      </c>
      <c r="I14">
        <v>0</v>
      </c>
      <c r="J14">
        <v>4.9499999999999904</v>
      </c>
      <c r="K14">
        <v>0</v>
      </c>
      <c r="L14" t="s">
        <v>132</v>
      </c>
      <c r="M14" t="s">
        <v>131</v>
      </c>
      <c r="N14">
        <v>825935</v>
      </c>
    </row>
    <row r="15" spans="1:14">
      <c r="A15" t="s">
        <v>26</v>
      </c>
      <c r="B15" t="s">
        <v>130</v>
      </c>
      <c r="C15" t="s">
        <v>131</v>
      </c>
      <c r="D15">
        <v>0.3</v>
      </c>
      <c r="E15">
        <v>0</v>
      </c>
      <c r="F15">
        <v>0</v>
      </c>
      <c r="G15">
        <v>0.3</v>
      </c>
      <c r="H15">
        <v>0</v>
      </c>
      <c r="I15">
        <v>0</v>
      </c>
      <c r="J15">
        <v>4.9499999999999904</v>
      </c>
      <c r="K15">
        <v>0</v>
      </c>
      <c r="L15" t="s">
        <v>132</v>
      </c>
      <c r="M15" t="s">
        <v>131</v>
      </c>
      <c r="N15">
        <v>825936</v>
      </c>
    </row>
    <row r="16" spans="1:14">
      <c r="A16" t="s">
        <v>26</v>
      </c>
      <c r="B16" t="s">
        <v>130</v>
      </c>
      <c r="C16" t="s">
        <v>131</v>
      </c>
      <c r="D16">
        <v>0.3</v>
      </c>
      <c r="E16">
        <v>0</v>
      </c>
      <c r="F16">
        <v>0</v>
      </c>
      <c r="G16">
        <v>0.3</v>
      </c>
      <c r="H16">
        <v>0</v>
      </c>
      <c r="I16">
        <v>0</v>
      </c>
      <c r="J16">
        <v>4.9499999999999904</v>
      </c>
      <c r="K16">
        <v>0</v>
      </c>
      <c r="L16" t="s">
        <v>132</v>
      </c>
      <c r="M16" t="s">
        <v>131</v>
      </c>
      <c r="N16">
        <v>825937</v>
      </c>
    </row>
    <row r="17" spans="1:14">
      <c r="A17" t="s">
        <v>26</v>
      </c>
      <c r="B17" t="s">
        <v>130</v>
      </c>
      <c r="C17" t="s">
        <v>131</v>
      </c>
      <c r="D17">
        <v>0.3</v>
      </c>
      <c r="E17">
        <v>0</v>
      </c>
      <c r="F17">
        <v>0</v>
      </c>
      <c r="G17">
        <v>0.3</v>
      </c>
      <c r="H17">
        <v>0</v>
      </c>
      <c r="I17">
        <v>0</v>
      </c>
      <c r="J17">
        <v>4.9499999999999904</v>
      </c>
      <c r="K17">
        <v>0</v>
      </c>
      <c r="L17" t="s">
        <v>132</v>
      </c>
      <c r="M17" t="s">
        <v>131</v>
      </c>
      <c r="N17">
        <v>825938</v>
      </c>
    </row>
    <row r="18" spans="1:14">
      <c r="A18" t="s">
        <v>26</v>
      </c>
      <c r="B18" t="s">
        <v>130</v>
      </c>
      <c r="C18" t="s">
        <v>131</v>
      </c>
      <c r="D18">
        <v>0.3</v>
      </c>
      <c r="E18">
        <v>0</v>
      </c>
      <c r="F18">
        <v>0</v>
      </c>
      <c r="G18">
        <v>0.3</v>
      </c>
      <c r="H18">
        <v>0</v>
      </c>
      <c r="I18">
        <v>0</v>
      </c>
      <c r="J18">
        <v>4.9499999999999904</v>
      </c>
      <c r="K18">
        <v>0</v>
      </c>
      <c r="L18" t="s">
        <v>132</v>
      </c>
      <c r="M18" t="s">
        <v>131</v>
      </c>
      <c r="N18">
        <v>825939</v>
      </c>
    </row>
    <row r="19" spans="1:14">
      <c r="A19" t="s">
        <v>26</v>
      </c>
      <c r="B19" t="s">
        <v>130</v>
      </c>
      <c r="C19" t="s">
        <v>131</v>
      </c>
      <c r="D19">
        <v>0.3</v>
      </c>
      <c r="E19">
        <v>0</v>
      </c>
      <c r="F19">
        <v>0</v>
      </c>
      <c r="G19">
        <v>0.3</v>
      </c>
      <c r="H19">
        <v>0</v>
      </c>
      <c r="I19">
        <v>0</v>
      </c>
      <c r="J19">
        <v>4.9499999999999904</v>
      </c>
      <c r="K19">
        <v>0</v>
      </c>
      <c r="L19" t="s">
        <v>132</v>
      </c>
      <c r="M19" t="s">
        <v>131</v>
      </c>
      <c r="N19">
        <v>825940</v>
      </c>
    </row>
    <row r="20" spans="1:14">
      <c r="A20" t="s">
        <v>26</v>
      </c>
      <c r="B20" t="s">
        <v>130</v>
      </c>
      <c r="C20" t="s">
        <v>131</v>
      </c>
      <c r="D20">
        <v>0.3</v>
      </c>
      <c r="E20">
        <v>0</v>
      </c>
      <c r="F20">
        <v>0</v>
      </c>
      <c r="G20">
        <v>0.3</v>
      </c>
      <c r="H20">
        <v>0</v>
      </c>
      <c r="I20">
        <v>0</v>
      </c>
      <c r="J20">
        <v>4.9499999999999904</v>
      </c>
      <c r="K20">
        <v>0</v>
      </c>
      <c r="L20" t="s">
        <v>132</v>
      </c>
      <c r="M20" t="s">
        <v>131</v>
      </c>
      <c r="N20">
        <v>825941</v>
      </c>
    </row>
    <row r="21" spans="1:14">
      <c r="A21" t="s">
        <v>26</v>
      </c>
      <c r="B21" t="s">
        <v>130</v>
      </c>
      <c r="C21" t="s">
        <v>131</v>
      </c>
      <c r="D21">
        <v>0.3</v>
      </c>
      <c r="E21">
        <v>0</v>
      </c>
      <c r="F21">
        <v>0</v>
      </c>
      <c r="G21">
        <v>0.3</v>
      </c>
      <c r="H21">
        <v>0</v>
      </c>
      <c r="I21">
        <v>0</v>
      </c>
      <c r="J21">
        <v>4.9499999999999904</v>
      </c>
      <c r="K21">
        <v>0</v>
      </c>
      <c r="L21" t="s">
        <v>132</v>
      </c>
      <c r="M21" t="s">
        <v>131</v>
      </c>
      <c r="N21">
        <v>825942</v>
      </c>
    </row>
    <row r="22" spans="1:14">
      <c r="A22" t="s">
        <v>26</v>
      </c>
      <c r="B22" t="s">
        <v>130</v>
      </c>
      <c r="C22" t="s">
        <v>131</v>
      </c>
      <c r="D22">
        <v>0.3</v>
      </c>
      <c r="E22">
        <v>0</v>
      </c>
      <c r="F22">
        <v>0</v>
      </c>
      <c r="G22">
        <v>0.3</v>
      </c>
      <c r="H22">
        <v>0</v>
      </c>
      <c r="I22">
        <v>0</v>
      </c>
      <c r="J22">
        <v>4.9499999999999904</v>
      </c>
      <c r="K22">
        <v>0</v>
      </c>
      <c r="L22" t="s">
        <v>132</v>
      </c>
      <c r="M22" t="s">
        <v>131</v>
      </c>
      <c r="N22">
        <v>825943</v>
      </c>
    </row>
    <row r="23" spans="1:14">
      <c r="A23" t="s">
        <v>26</v>
      </c>
      <c r="B23" t="s">
        <v>130</v>
      </c>
      <c r="C23" t="s">
        <v>131</v>
      </c>
      <c r="D23">
        <v>0.3</v>
      </c>
      <c r="E23">
        <v>0</v>
      </c>
      <c r="F23">
        <v>0</v>
      </c>
      <c r="G23">
        <v>0.3</v>
      </c>
      <c r="H23">
        <v>0</v>
      </c>
      <c r="I23">
        <v>0</v>
      </c>
      <c r="J23">
        <v>4.9499999999999904</v>
      </c>
      <c r="K23">
        <v>0</v>
      </c>
      <c r="L23" t="s">
        <v>132</v>
      </c>
      <c r="M23" t="s">
        <v>131</v>
      </c>
      <c r="N23">
        <v>825944</v>
      </c>
    </row>
    <row r="24" spans="1:14">
      <c r="A24" t="s">
        <v>26</v>
      </c>
      <c r="B24" t="s">
        <v>130</v>
      </c>
      <c r="C24" t="s">
        <v>131</v>
      </c>
      <c r="D24">
        <v>0.3</v>
      </c>
      <c r="E24">
        <v>0</v>
      </c>
      <c r="F24">
        <v>0</v>
      </c>
      <c r="G24">
        <v>0.3</v>
      </c>
      <c r="H24">
        <v>0</v>
      </c>
      <c r="I24">
        <v>0</v>
      </c>
      <c r="J24">
        <v>4.9499999999999904</v>
      </c>
      <c r="K24">
        <v>0</v>
      </c>
      <c r="L24" t="s">
        <v>132</v>
      </c>
      <c r="M24" t="s">
        <v>131</v>
      </c>
      <c r="N24">
        <v>825945</v>
      </c>
    </row>
    <row r="25" spans="1:14">
      <c r="A25" t="s">
        <v>26</v>
      </c>
      <c r="B25" t="s">
        <v>130</v>
      </c>
      <c r="C25" t="s">
        <v>131</v>
      </c>
      <c r="D25">
        <v>0.3</v>
      </c>
      <c r="E25">
        <v>0</v>
      </c>
      <c r="F25">
        <v>0</v>
      </c>
      <c r="G25">
        <v>0.3</v>
      </c>
      <c r="H25">
        <v>0</v>
      </c>
      <c r="I25">
        <v>0</v>
      </c>
      <c r="J25">
        <v>4.9499999999999904</v>
      </c>
      <c r="K25">
        <v>0</v>
      </c>
      <c r="L25" t="s">
        <v>132</v>
      </c>
      <c r="M25" t="s">
        <v>131</v>
      </c>
      <c r="N25">
        <v>825946</v>
      </c>
    </row>
    <row r="26" spans="1:14">
      <c r="A26" t="s">
        <v>26</v>
      </c>
      <c r="B26" t="s">
        <v>130</v>
      </c>
      <c r="C26" t="s">
        <v>131</v>
      </c>
      <c r="D26">
        <v>0.3</v>
      </c>
      <c r="E26">
        <v>0</v>
      </c>
      <c r="F26">
        <v>0</v>
      </c>
      <c r="G26">
        <v>0.3</v>
      </c>
      <c r="H26">
        <v>0</v>
      </c>
      <c r="I26">
        <v>0</v>
      </c>
      <c r="J26">
        <v>4.9499999999999904</v>
      </c>
      <c r="K26">
        <v>0</v>
      </c>
      <c r="L26" t="s">
        <v>132</v>
      </c>
      <c r="M26" t="s">
        <v>131</v>
      </c>
      <c r="N26">
        <v>825947</v>
      </c>
    </row>
    <row r="27" spans="1:14">
      <c r="A27" t="s">
        <v>26</v>
      </c>
      <c r="B27" t="s">
        <v>130</v>
      </c>
      <c r="C27" t="s">
        <v>131</v>
      </c>
      <c r="D27">
        <v>0.3</v>
      </c>
      <c r="E27">
        <v>0</v>
      </c>
      <c r="F27">
        <v>0</v>
      </c>
      <c r="G27">
        <v>0.3</v>
      </c>
      <c r="H27">
        <v>0</v>
      </c>
      <c r="I27">
        <v>0</v>
      </c>
      <c r="J27">
        <v>4.9499999999999904</v>
      </c>
      <c r="K27">
        <v>0</v>
      </c>
      <c r="L27" t="s">
        <v>132</v>
      </c>
      <c r="M27" t="s">
        <v>131</v>
      </c>
      <c r="N27">
        <v>825948</v>
      </c>
    </row>
    <row r="28" spans="1:14">
      <c r="A28" t="s">
        <v>26</v>
      </c>
      <c r="B28" t="s">
        <v>130</v>
      </c>
      <c r="C28" t="s">
        <v>131</v>
      </c>
      <c r="D28">
        <v>0.3</v>
      </c>
      <c r="E28">
        <v>0</v>
      </c>
      <c r="F28">
        <v>0</v>
      </c>
      <c r="G28">
        <v>0.3</v>
      </c>
      <c r="H28">
        <v>0</v>
      </c>
      <c r="I28">
        <v>0</v>
      </c>
      <c r="J28">
        <v>4.9499999999999904</v>
      </c>
      <c r="K28">
        <v>0</v>
      </c>
      <c r="L28" t="s">
        <v>132</v>
      </c>
      <c r="M28" t="s">
        <v>131</v>
      </c>
      <c r="N28">
        <v>825949</v>
      </c>
    </row>
    <row r="29" spans="1:14">
      <c r="A29" t="s">
        <v>26</v>
      </c>
      <c r="B29" t="s">
        <v>130</v>
      </c>
      <c r="C29" t="s">
        <v>131</v>
      </c>
      <c r="D29">
        <v>0.3</v>
      </c>
      <c r="E29">
        <v>0</v>
      </c>
      <c r="F29">
        <v>0</v>
      </c>
      <c r="G29">
        <v>0.3</v>
      </c>
      <c r="H29">
        <v>0</v>
      </c>
      <c r="I29">
        <v>0</v>
      </c>
      <c r="J29">
        <v>4.9499999999999904</v>
      </c>
      <c r="K29">
        <v>0</v>
      </c>
      <c r="L29" t="s">
        <v>132</v>
      </c>
      <c r="M29" t="s">
        <v>131</v>
      </c>
      <c r="N29">
        <v>825950</v>
      </c>
    </row>
    <row r="30" spans="1:14">
      <c r="A30" t="s">
        <v>26</v>
      </c>
      <c r="B30" t="s">
        <v>130</v>
      </c>
      <c r="C30" t="s">
        <v>131</v>
      </c>
      <c r="D30">
        <v>0.3</v>
      </c>
      <c r="E30">
        <v>0</v>
      </c>
      <c r="F30">
        <v>0</v>
      </c>
      <c r="G30">
        <v>0.3</v>
      </c>
      <c r="H30">
        <v>0</v>
      </c>
      <c r="I30">
        <v>0</v>
      </c>
      <c r="J30">
        <v>4.9499999999999904</v>
      </c>
      <c r="K30">
        <v>0</v>
      </c>
      <c r="L30" t="s">
        <v>132</v>
      </c>
      <c r="M30" t="s">
        <v>131</v>
      </c>
      <c r="N30">
        <v>825951</v>
      </c>
    </row>
    <row r="31" spans="1:14">
      <c r="A31" t="s">
        <v>26</v>
      </c>
      <c r="B31" t="s">
        <v>130</v>
      </c>
      <c r="C31" t="s">
        <v>131</v>
      </c>
      <c r="D31">
        <v>0.3</v>
      </c>
      <c r="E31">
        <v>0</v>
      </c>
      <c r="F31">
        <v>0</v>
      </c>
      <c r="G31">
        <v>0.3</v>
      </c>
      <c r="H31">
        <v>0</v>
      </c>
      <c r="I31">
        <v>0</v>
      </c>
      <c r="J31">
        <v>4.9499999999999904</v>
      </c>
      <c r="K31">
        <v>0</v>
      </c>
      <c r="L31" t="s">
        <v>132</v>
      </c>
      <c r="M31" t="s">
        <v>131</v>
      </c>
      <c r="N31">
        <v>825952</v>
      </c>
    </row>
    <row r="32" spans="1:14">
      <c r="A32" t="s">
        <v>26</v>
      </c>
      <c r="B32" t="s">
        <v>130</v>
      </c>
      <c r="C32" t="s">
        <v>131</v>
      </c>
      <c r="D32">
        <v>0.3</v>
      </c>
      <c r="E32">
        <v>0</v>
      </c>
      <c r="F32">
        <v>0</v>
      </c>
      <c r="G32">
        <v>0.3</v>
      </c>
      <c r="H32">
        <v>0</v>
      </c>
      <c r="I32">
        <v>0</v>
      </c>
      <c r="J32">
        <v>4.9499999999999904</v>
      </c>
      <c r="K32">
        <v>0</v>
      </c>
      <c r="L32" t="s">
        <v>132</v>
      </c>
      <c r="M32" t="s">
        <v>131</v>
      </c>
      <c r="N32">
        <v>826218</v>
      </c>
    </row>
    <row r="33" spans="1:14">
      <c r="A33" t="s">
        <v>26</v>
      </c>
      <c r="B33" t="s">
        <v>130</v>
      </c>
      <c r="C33" t="s">
        <v>131</v>
      </c>
      <c r="D33">
        <v>0.3</v>
      </c>
      <c r="E33">
        <v>0</v>
      </c>
      <c r="F33">
        <v>0</v>
      </c>
      <c r="G33">
        <v>0.3</v>
      </c>
      <c r="H33">
        <v>0</v>
      </c>
      <c r="I33">
        <v>0</v>
      </c>
      <c r="J33">
        <v>4.9499999999999904</v>
      </c>
      <c r="K33">
        <v>0</v>
      </c>
      <c r="L33" t="s">
        <v>132</v>
      </c>
      <c r="M33" t="s">
        <v>131</v>
      </c>
      <c r="N33">
        <v>826219</v>
      </c>
    </row>
    <row r="34" spans="1:14">
      <c r="A34" t="s">
        <v>26</v>
      </c>
      <c r="B34" t="s">
        <v>130</v>
      </c>
      <c r="C34" t="s">
        <v>131</v>
      </c>
      <c r="D34">
        <v>0.3</v>
      </c>
      <c r="E34">
        <v>0</v>
      </c>
      <c r="F34">
        <v>0</v>
      </c>
      <c r="G34">
        <v>0.3</v>
      </c>
      <c r="H34">
        <v>0</v>
      </c>
      <c r="I34">
        <v>0</v>
      </c>
      <c r="J34">
        <v>4.9499999999999904</v>
      </c>
      <c r="K34">
        <v>0</v>
      </c>
      <c r="L34" t="s">
        <v>132</v>
      </c>
      <c r="M34" t="s">
        <v>131</v>
      </c>
      <c r="N34">
        <v>826220</v>
      </c>
    </row>
    <row r="35" spans="1:14">
      <c r="A35" t="s">
        <v>26</v>
      </c>
      <c r="B35" t="s">
        <v>130</v>
      </c>
      <c r="C35" t="s">
        <v>131</v>
      </c>
      <c r="D35">
        <v>0.3</v>
      </c>
      <c r="E35">
        <v>0</v>
      </c>
      <c r="F35">
        <v>0</v>
      </c>
      <c r="G35">
        <v>0.3</v>
      </c>
      <c r="H35">
        <v>0</v>
      </c>
      <c r="I35">
        <v>0</v>
      </c>
      <c r="J35">
        <v>4.9499999999999904</v>
      </c>
      <c r="K35">
        <v>0</v>
      </c>
      <c r="L35" t="s">
        <v>132</v>
      </c>
      <c r="M35" t="s">
        <v>131</v>
      </c>
      <c r="N35">
        <v>826221</v>
      </c>
    </row>
    <row r="36" spans="1:14">
      <c r="A36" t="s">
        <v>26</v>
      </c>
      <c r="B36" t="s">
        <v>130</v>
      </c>
      <c r="C36" t="s">
        <v>131</v>
      </c>
      <c r="D36">
        <v>0.3</v>
      </c>
      <c r="E36">
        <v>0</v>
      </c>
      <c r="F36">
        <v>0</v>
      </c>
      <c r="G36">
        <v>0.3</v>
      </c>
      <c r="H36">
        <v>0</v>
      </c>
      <c r="I36">
        <v>0</v>
      </c>
      <c r="J36">
        <v>4.9499999999999904</v>
      </c>
      <c r="K36">
        <v>0</v>
      </c>
      <c r="L36" t="s">
        <v>132</v>
      </c>
      <c r="M36" t="s">
        <v>131</v>
      </c>
      <c r="N36">
        <v>826222</v>
      </c>
    </row>
    <row r="37" spans="1:14">
      <c r="A37" t="s">
        <v>26</v>
      </c>
      <c r="B37" t="s">
        <v>130</v>
      </c>
      <c r="C37" t="s">
        <v>131</v>
      </c>
      <c r="D37">
        <v>0.3</v>
      </c>
      <c r="E37">
        <v>0</v>
      </c>
      <c r="F37">
        <v>0</v>
      </c>
      <c r="G37">
        <v>0.3</v>
      </c>
      <c r="H37">
        <v>0</v>
      </c>
      <c r="I37">
        <v>0</v>
      </c>
      <c r="J37">
        <v>4.9499999999999904</v>
      </c>
      <c r="K37">
        <v>0</v>
      </c>
      <c r="L37" t="s">
        <v>132</v>
      </c>
      <c r="M37" t="s">
        <v>131</v>
      </c>
      <c r="N37">
        <v>826223</v>
      </c>
    </row>
    <row r="38" spans="1:14">
      <c r="A38" t="s">
        <v>26</v>
      </c>
      <c r="B38" t="s">
        <v>130</v>
      </c>
      <c r="C38" t="s">
        <v>131</v>
      </c>
      <c r="D38">
        <v>0.3</v>
      </c>
      <c r="E38">
        <v>0</v>
      </c>
      <c r="F38">
        <v>0</v>
      </c>
      <c r="G38">
        <v>0.3</v>
      </c>
      <c r="H38">
        <v>0</v>
      </c>
      <c r="I38">
        <v>0</v>
      </c>
      <c r="J38">
        <v>4.9499999999999904</v>
      </c>
      <c r="K38">
        <v>0</v>
      </c>
      <c r="L38" t="s">
        <v>132</v>
      </c>
      <c r="M38" t="s">
        <v>131</v>
      </c>
      <c r="N38">
        <v>826224</v>
      </c>
    </row>
    <row r="39" spans="1:14">
      <c r="A39" t="s">
        <v>26</v>
      </c>
      <c r="B39" t="s">
        <v>130</v>
      </c>
      <c r="C39" t="s">
        <v>131</v>
      </c>
      <c r="D39">
        <v>0.3</v>
      </c>
      <c r="E39">
        <v>0</v>
      </c>
      <c r="F39">
        <v>0</v>
      </c>
      <c r="G39">
        <v>0.3</v>
      </c>
      <c r="H39">
        <v>0</v>
      </c>
      <c r="I39">
        <v>0</v>
      </c>
      <c r="J39">
        <v>4.9499999999999904</v>
      </c>
      <c r="K39">
        <v>0</v>
      </c>
      <c r="L39" t="s">
        <v>132</v>
      </c>
      <c r="M39" t="s">
        <v>131</v>
      </c>
      <c r="N39">
        <v>826225</v>
      </c>
    </row>
    <row r="40" spans="1:14">
      <c r="A40" t="s">
        <v>26</v>
      </c>
      <c r="B40" t="s">
        <v>130</v>
      </c>
      <c r="C40" t="s">
        <v>131</v>
      </c>
      <c r="D40">
        <v>0.3</v>
      </c>
      <c r="E40">
        <v>0</v>
      </c>
      <c r="F40">
        <v>0</v>
      </c>
      <c r="G40">
        <v>0.3</v>
      </c>
      <c r="H40">
        <v>0</v>
      </c>
      <c r="I40">
        <v>0</v>
      </c>
      <c r="J40">
        <v>4.9499999999999904</v>
      </c>
      <c r="K40">
        <v>0</v>
      </c>
      <c r="L40" t="s">
        <v>132</v>
      </c>
      <c r="M40" t="s">
        <v>131</v>
      </c>
      <c r="N40">
        <v>826226</v>
      </c>
    </row>
    <row r="41" spans="1:14">
      <c r="A41" t="s">
        <v>26</v>
      </c>
      <c r="B41" t="s">
        <v>130</v>
      </c>
      <c r="C41" t="s">
        <v>131</v>
      </c>
      <c r="D41">
        <v>0.3</v>
      </c>
      <c r="E41">
        <v>0</v>
      </c>
      <c r="F41">
        <v>0</v>
      </c>
      <c r="G41">
        <v>0.3</v>
      </c>
      <c r="H41">
        <v>0</v>
      </c>
      <c r="I41">
        <v>0</v>
      </c>
      <c r="J41">
        <v>4.9499999999999904</v>
      </c>
      <c r="K41">
        <v>0</v>
      </c>
      <c r="L41" t="s">
        <v>132</v>
      </c>
      <c r="M41" t="s">
        <v>131</v>
      </c>
      <c r="N41">
        <v>826227</v>
      </c>
    </row>
    <row r="42" spans="1:14">
      <c r="A42" t="s">
        <v>26</v>
      </c>
      <c r="B42" t="s">
        <v>130</v>
      </c>
      <c r="C42" t="s">
        <v>131</v>
      </c>
      <c r="D42">
        <v>0.3</v>
      </c>
      <c r="E42">
        <v>0</v>
      </c>
      <c r="F42">
        <v>0</v>
      </c>
      <c r="G42">
        <v>0.3</v>
      </c>
      <c r="H42">
        <v>0</v>
      </c>
      <c r="I42">
        <v>0</v>
      </c>
      <c r="J42">
        <v>4.9499999999999904</v>
      </c>
      <c r="K42">
        <v>0</v>
      </c>
      <c r="L42" t="s">
        <v>132</v>
      </c>
      <c r="M42" t="s">
        <v>131</v>
      </c>
      <c r="N42">
        <v>826228</v>
      </c>
    </row>
    <row r="43" spans="1:14">
      <c r="A43" t="s">
        <v>26</v>
      </c>
      <c r="B43" t="s">
        <v>130</v>
      </c>
      <c r="C43" t="s">
        <v>131</v>
      </c>
      <c r="D43">
        <v>0.3</v>
      </c>
      <c r="E43">
        <v>0</v>
      </c>
      <c r="F43">
        <v>0</v>
      </c>
      <c r="G43">
        <v>0.3</v>
      </c>
      <c r="H43">
        <v>0</v>
      </c>
      <c r="I43">
        <v>0</v>
      </c>
      <c r="J43">
        <v>4.9499999999999904</v>
      </c>
      <c r="K43">
        <v>0</v>
      </c>
      <c r="L43" t="s">
        <v>132</v>
      </c>
      <c r="M43" t="s">
        <v>131</v>
      </c>
      <c r="N43">
        <v>826229</v>
      </c>
    </row>
    <row r="44" spans="1:14">
      <c r="A44" t="s">
        <v>26</v>
      </c>
      <c r="B44" t="s">
        <v>130</v>
      </c>
      <c r="C44" t="s">
        <v>131</v>
      </c>
      <c r="D44">
        <v>0.3</v>
      </c>
      <c r="E44">
        <v>0</v>
      </c>
      <c r="F44">
        <v>0</v>
      </c>
      <c r="G44">
        <v>0.3</v>
      </c>
      <c r="H44">
        <v>0</v>
      </c>
      <c r="I44">
        <v>0</v>
      </c>
      <c r="J44">
        <v>4.9499999999999904</v>
      </c>
      <c r="K44">
        <v>0</v>
      </c>
      <c r="L44" t="s">
        <v>132</v>
      </c>
      <c r="M44" t="s">
        <v>131</v>
      </c>
      <c r="N44">
        <v>826230</v>
      </c>
    </row>
    <row r="45" spans="1:14">
      <c r="A45" t="s">
        <v>26</v>
      </c>
      <c r="B45" t="s">
        <v>130</v>
      </c>
      <c r="C45" t="s">
        <v>131</v>
      </c>
      <c r="D45">
        <v>0.3</v>
      </c>
      <c r="E45">
        <v>0</v>
      </c>
      <c r="F45">
        <v>0</v>
      </c>
      <c r="G45">
        <v>0.3</v>
      </c>
      <c r="H45">
        <v>0</v>
      </c>
      <c r="I45">
        <v>0</v>
      </c>
      <c r="J45">
        <v>4.9499999999999904</v>
      </c>
      <c r="K45">
        <v>0</v>
      </c>
      <c r="L45" t="s">
        <v>132</v>
      </c>
      <c r="M45" t="s">
        <v>131</v>
      </c>
      <c r="N45">
        <v>826231</v>
      </c>
    </row>
    <row r="46" spans="1:14">
      <c r="A46" t="s">
        <v>26</v>
      </c>
      <c r="B46" t="s">
        <v>130</v>
      </c>
      <c r="C46" t="s">
        <v>131</v>
      </c>
      <c r="D46">
        <v>0.3</v>
      </c>
      <c r="E46">
        <v>0</v>
      </c>
      <c r="F46">
        <v>0</v>
      </c>
      <c r="G46">
        <v>0.3</v>
      </c>
      <c r="H46">
        <v>0</v>
      </c>
      <c r="I46">
        <v>0</v>
      </c>
      <c r="J46">
        <v>4.9499999999999904</v>
      </c>
      <c r="K46">
        <v>0</v>
      </c>
      <c r="L46" t="s">
        <v>132</v>
      </c>
      <c r="M46" t="s">
        <v>131</v>
      </c>
      <c r="N46">
        <v>826232</v>
      </c>
    </row>
    <row r="47" spans="1:14">
      <c r="A47" t="s">
        <v>26</v>
      </c>
      <c r="B47" t="s">
        <v>130</v>
      </c>
      <c r="C47" t="s">
        <v>131</v>
      </c>
      <c r="D47">
        <v>0.3</v>
      </c>
      <c r="E47">
        <v>0</v>
      </c>
      <c r="F47">
        <v>0</v>
      </c>
      <c r="G47">
        <v>0.3</v>
      </c>
      <c r="H47">
        <v>0</v>
      </c>
      <c r="I47">
        <v>0</v>
      </c>
      <c r="J47">
        <v>4.9499999999999904</v>
      </c>
      <c r="K47">
        <v>0</v>
      </c>
      <c r="L47" t="s">
        <v>132</v>
      </c>
      <c r="M47" t="s">
        <v>131</v>
      </c>
      <c r="N47">
        <v>826233</v>
      </c>
    </row>
    <row r="48" spans="1:14">
      <c r="A48" t="s">
        <v>26</v>
      </c>
      <c r="B48" t="s">
        <v>130</v>
      </c>
      <c r="C48" t="s">
        <v>131</v>
      </c>
      <c r="D48">
        <v>0.3</v>
      </c>
      <c r="E48">
        <v>0</v>
      </c>
      <c r="F48">
        <v>0</v>
      </c>
      <c r="G48">
        <v>0.3</v>
      </c>
      <c r="H48">
        <v>0</v>
      </c>
      <c r="I48">
        <v>0</v>
      </c>
      <c r="J48">
        <v>4.9499999999999904</v>
      </c>
      <c r="K48">
        <v>0</v>
      </c>
      <c r="L48" t="s">
        <v>132</v>
      </c>
      <c r="M48" t="s">
        <v>131</v>
      </c>
      <c r="N48">
        <v>826234</v>
      </c>
    </row>
    <row r="49" spans="1:14">
      <c r="A49" t="s">
        <v>26</v>
      </c>
      <c r="B49" t="s">
        <v>130</v>
      </c>
      <c r="C49" t="s">
        <v>131</v>
      </c>
      <c r="D49">
        <v>0.3</v>
      </c>
      <c r="E49">
        <v>0</v>
      </c>
      <c r="F49">
        <v>0</v>
      </c>
      <c r="G49">
        <v>0.3</v>
      </c>
      <c r="H49">
        <v>0</v>
      </c>
      <c r="I49">
        <v>0</v>
      </c>
      <c r="J49">
        <v>4.9499999999999904</v>
      </c>
      <c r="K49">
        <v>0</v>
      </c>
      <c r="L49" t="s">
        <v>132</v>
      </c>
      <c r="M49" t="s">
        <v>131</v>
      </c>
      <c r="N49">
        <v>826235</v>
      </c>
    </row>
    <row r="50" spans="1:14">
      <c r="A50" t="s">
        <v>26</v>
      </c>
      <c r="B50" t="s">
        <v>130</v>
      </c>
      <c r="C50" t="s">
        <v>131</v>
      </c>
      <c r="D50">
        <v>0.3</v>
      </c>
      <c r="E50">
        <v>0</v>
      </c>
      <c r="F50">
        <v>0</v>
      </c>
      <c r="G50">
        <v>0.3</v>
      </c>
      <c r="H50">
        <v>0</v>
      </c>
      <c r="I50">
        <v>0</v>
      </c>
      <c r="J50">
        <v>4.9499999999999904</v>
      </c>
      <c r="K50">
        <v>0</v>
      </c>
      <c r="L50" t="s">
        <v>132</v>
      </c>
      <c r="M50" t="s">
        <v>131</v>
      </c>
      <c r="N50">
        <v>826236</v>
      </c>
    </row>
    <row r="51" spans="1:14">
      <c r="A51" t="s">
        <v>26</v>
      </c>
      <c r="B51" t="s">
        <v>130</v>
      </c>
      <c r="C51" t="s">
        <v>131</v>
      </c>
      <c r="D51">
        <v>0.3</v>
      </c>
      <c r="E51">
        <v>0</v>
      </c>
      <c r="F51">
        <v>0</v>
      </c>
      <c r="G51">
        <v>0.3</v>
      </c>
      <c r="H51">
        <v>0</v>
      </c>
      <c r="I51">
        <v>0</v>
      </c>
      <c r="J51">
        <v>4.9499999999999904</v>
      </c>
      <c r="K51">
        <v>0</v>
      </c>
      <c r="L51" t="s">
        <v>132</v>
      </c>
      <c r="M51" t="s">
        <v>131</v>
      </c>
      <c r="N51">
        <v>826237</v>
      </c>
    </row>
    <row r="52" spans="1:14">
      <c r="A52" t="s">
        <v>26</v>
      </c>
      <c r="B52" t="s">
        <v>130</v>
      </c>
      <c r="C52" t="s">
        <v>131</v>
      </c>
      <c r="D52">
        <v>0.3</v>
      </c>
      <c r="E52">
        <v>0</v>
      </c>
      <c r="F52">
        <v>0</v>
      </c>
      <c r="G52">
        <v>0.3</v>
      </c>
      <c r="H52">
        <v>0</v>
      </c>
      <c r="I52">
        <v>0</v>
      </c>
      <c r="J52">
        <v>4.9499999999999904</v>
      </c>
      <c r="K52">
        <v>0</v>
      </c>
      <c r="L52" t="s">
        <v>132</v>
      </c>
      <c r="M52" t="s">
        <v>131</v>
      </c>
      <c r="N52">
        <v>826238</v>
      </c>
    </row>
    <row r="53" spans="1:14">
      <c r="A53" t="s">
        <v>26</v>
      </c>
      <c r="B53" t="s">
        <v>130</v>
      </c>
      <c r="C53" t="s">
        <v>131</v>
      </c>
      <c r="D53">
        <v>0.3</v>
      </c>
      <c r="E53">
        <v>0</v>
      </c>
      <c r="F53">
        <v>0</v>
      </c>
      <c r="G53">
        <v>0.3</v>
      </c>
      <c r="H53">
        <v>0</v>
      </c>
      <c r="I53">
        <v>0</v>
      </c>
      <c r="J53">
        <v>4.9499999999999904</v>
      </c>
      <c r="K53">
        <v>0</v>
      </c>
      <c r="L53" t="s">
        <v>132</v>
      </c>
      <c r="M53" t="s">
        <v>131</v>
      </c>
      <c r="N53">
        <v>826239</v>
      </c>
    </row>
    <row r="54" spans="1:14">
      <c r="A54" t="s">
        <v>26</v>
      </c>
      <c r="B54" t="s">
        <v>130</v>
      </c>
      <c r="C54" t="s">
        <v>131</v>
      </c>
      <c r="D54">
        <v>0.3</v>
      </c>
      <c r="E54">
        <v>0</v>
      </c>
      <c r="F54">
        <v>0</v>
      </c>
      <c r="G54">
        <v>0.3</v>
      </c>
      <c r="H54">
        <v>0</v>
      </c>
      <c r="I54">
        <v>0</v>
      </c>
      <c r="J54">
        <v>4.9499999999999904</v>
      </c>
      <c r="K54">
        <v>0</v>
      </c>
      <c r="L54" t="s">
        <v>132</v>
      </c>
      <c r="M54" t="s">
        <v>131</v>
      </c>
      <c r="N54">
        <v>826240</v>
      </c>
    </row>
    <row r="55" spans="1:14">
      <c r="A55" t="s">
        <v>26</v>
      </c>
      <c r="B55" t="s">
        <v>130</v>
      </c>
      <c r="C55" t="s">
        <v>131</v>
      </c>
      <c r="D55">
        <v>0.3</v>
      </c>
      <c r="E55">
        <v>0</v>
      </c>
      <c r="F55">
        <v>0</v>
      </c>
      <c r="G55">
        <v>0.3</v>
      </c>
      <c r="H55">
        <v>0</v>
      </c>
      <c r="I55">
        <v>0</v>
      </c>
      <c r="J55">
        <v>4.9499999999999904</v>
      </c>
      <c r="K55">
        <v>0</v>
      </c>
      <c r="L55" t="s">
        <v>132</v>
      </c>
      <c r="M55" t="s">
        <v>131</v>
      </c>
      <c r="N55">
        <v>826241</v>
      </c>
    </row>
    <row r="56" spans="1:14">
      <c r="A56" t="s">
        <v>26</v>
      </c>
      <c r="B56" t="s">
        <v>130</v>
      </c>
      <c r="C56" t="s">
        <v>131</v>
      </c>
      <c r="D56">
        <v>0.3</v>
      </c>
      <c r="E56">
        <v>0</v>
      </c>
      <c r="F56">
        <v>0</v>
      </c>
      <c r="G56">
        <v>0.3</v>
      </c>
      <c r="H56">
        <v>0</v>
      </c>
      <c r="I56">
        <v>0</v>
      </c>
      <c r="J56">
        <v>4.9499999999999904</v>
      </c>
      <c r="K56">
        <v>0</v>
      </c>
      <c r="L56" t="s">
        <v>132</v>
      </c>
      <c r="M56" t="s">
        <v>131</v>
      </c>
      <c r="N56">
        <v>826242</v>
      </c>
    </row>
    <row r="57" spans="1:14">
      <c r="A57" t="s">
        <v>26</v>
      </c>
      <c r="B57" t="s">
        <v>130</v>
      </c>
      <c r="C57" t="s">
        <v>131</v>
      </c>
      <c r="D57">
        <v>0.3</v>
      </c>
      <c r="E57">
        <v>0</v>
      </c>
      <c r="F57">
        <v>0</v>
      </c>
      <c r="G57">
        <v>0.3</v>
      </c>
      <c r="H57">
        <v>0</v>
      </c>
      <c r="I57">
        <v>0</v>
      </c>
      <c r="J57">
        <v>4.9499999999999904</v>
      </c>
      <c r="K57">
        <v>0</v>
      </c>
      <c r="L57" t="s">
        <v>132</v>
      </c>
      <c r="M57" t="s">
        <v>131</v>
      </c>
      <c r="N57">
        <v>826243</v>
      </c>
    </row>
    <row r="58" spans="1:14">
      <c r="A58" t="s">
        <v>26</v>
      </c>
      <c r="B58" t="s">
        <v>130</v>
      </c>
      <c r="C58" t="s">
        <v>131</v>
      </c>
      <c r="D58">
        <v>0.3</v>
      </c>
      <c r="E58">
        <v>0</v>
      </c>
      <c r="F58">
        <v>0</v>
      </c>
      <c r="G58">
        <v>0.3</v>
      </c>
      <c r="H58">
        <v>0</v>
      </c>
      <c r="I58">
        <v>0</v>
      </c>
      <c r="J58">
        <v>4.9499999999999904</v>
      </c>
      <c r="K58">
        <v>0</v>
      </c>
      <c r="L58" t="s">
        <v>132</v>
      </c>
      <c r="M58" t="s">
        <v>131</v>
      </c>
      <c r="N58">
        <v>826244</v>
      </c>
    </row>
    <row r="59" spans="1:14">
      <c r="A59" t="s">
        <v>26</v>
      </c>
      <c r="B59" t="s">
        <v>130</v>
      </c>
      <c r="C59" t="s">
        <v>131</v>
      </c>
      <c r="D59">
        <v>0.3</v>
      </c>
      <c r="E59">
        <v>0</v>
      </c>
      <c r="F59">
        <v>0</v>
      </c>
      <c r="G59">
        <v>0.3</v>
      </c>
      <c r="H59">
        <v>0</v>
      </c>
      <c r="I59">
        <v>0</v>
      </c>
      <c r="J59">
        <v>4.9499999999999904</v>
      </c>
      <c r="K59">
        <v>0</v>
      </c>
      <c r="L59" t="s">
        <v>132</v>
      </c>
      <c r="M59" t="s">
        <v>131</v>
      </c>
      <c r="N59">
        <v>826245</v>
      </c>
    </row>
    <row r="60" spans="1:14">
      <c r="A60" t="s">
        <v>26</v>
      </c>
      <c r="B60" t="s">
        <v>130</v>
      </c>
      <c r="C60" t="s">
        <v>131</v>
      </c>
      <c r="D60">
        <v>0.3</v>
      </c>
      <c r="E60">
        <v>0</v>
      </c>
      <c r="F60">
        <v>0</v>
      </c>
      <c r="G60">
        <v>0.3</v>
      </c>
      <c r="H60">
        <v>0</v>
      </c>
      <c r="I60">
        <v>0</v>
      </c>
      <c r="J60">
        <v>4.9499999999999904</v>
      </c>
      <c r="K60">
        <v>0</v>
      </c>
      <c r="L60" t="s">
        <v>132</v>
      </c>
      <c r="M60" t="s">
        <v>131</v>
      </c>
      <c r="N60">
        <v>826246</v>
      </c>
    </row>
    <row r="61" spans="1:14">
      <c r="A61" t="s">
        <v>26</v>
      </c>
      <c r="B61" t="s">
        <v>130</v>
      </c>
      <c r="C61" t="s">
        <v>131</v>
      </c>
      <c r="D61">
        <v>0.3</v>
      </c>
      <c r="E61">
        <v>0</v>
      </c>
      <c r="F61">
        <v>0</v>
      </c>
      <c r="G61">
        <v>0.3</v>
      </c>
      <c r="H61">
        <v>0</v>
      </c>
      <c r="I61">
        <v>0</v>
      </c>
      <c r="J61">
        <v>4.9499999999999904</v>
      </c>
      <c r="K61">
        <v>0</v>
      </c>
      <c r="L61" t="s">
        <v>132</v>
      </c>
      <c r="M61" t="s">
        <v>131</v>
      </c>
      <c r="N61">
        <v>826247</v>
      </c>
    </row>
    <row r="62" spans="1:14">
      <c r="A62" t="s">
        <v>133</v>
      </c>
      <c r="B62" t="s">
        <v>130</v>
      </c>
      <c r="C62" t="s">
        <v>131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5</v>
      </c>
      <c r="L62" t="s">
        <v>132</v>
      </c>
      <c r="M62" t="s">
        <v>134</v>
      </c>
    </row>
    <row r="63" spans="1:14">
      <c r="A63" t="s">
        <v>135</v>
      </c>
      <c r="B63" t="s">
        <v>130</v>
      </c>
      <c r="C63" t="s">
        <v>131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6</v>
      </c>
      <c r="L63" t="s">
        <v>132</v>
      </c>
      <c r="M63" t="s">
        <v>136</v>
      </c>
    </row>
    <row r="64" spans="1:14">
      <c r="A64" t="s">
        <v>39</v>
      </c>
      <c r="B64" t="s">
        <v>130</v>
      </c>
      <c r="C64" t="s">
        <v>137</v>
      </c>
      <c r="D64">
        <v>12.6</v>
      </c>
      <c r="E64">
        <v>0</v>
      </c>
      <c r="F64">
        <v>0</v>
      </c>
      <c r="G64">
        <v>0.2</v>
      </c>
      <c r="H64">
        <v>0</v>
      </c>
      <c r="I64">
        <v>0</v>
      </c>
      <c r="J64">
        <v>1.7</v>
      </c>
      <c r="K64">
        <v>0</v>
      </c>
      <c r="L64" t="s">
        <v>138</v>
      </c>
      <c r="M64" t="s">
        <v>139</v>
      </c>
      <c r="N64">
        <v>825914</v>
      </c>
    </row>
    <row r="65" spans="1:14">
      <c r="A65" t="s">
        <v>39</v>
      </c>
      <c r="B65" t="s">
        <v>130</v>
      </c>
      <c r="C65" t="s">
        <v>137</v>
      </c>
      <c r="D65">
        <v>2.4999999999999898</v>
      </c>
      <c r="E65">
        <v>0</v>
      </c>
      <c r="F65">
        <v>0</v>
      </c>
      <c r="G65">
        <v>0.2</v>
      </c>
      <c r="H65">
        <v>0</v>
      </c>
      <c r="I65">
        <v>0</v>
      </c>
      <c r="J65">
        <v>1.7</v>
      </c>
      <c r="K65">
        <v>0</v>
      </c>
      <c r="L65" t="s">
        <v>138</v>
      </c>
      <c r="M65" t="s">
        <v>139</v>
      </c>
      <c r="N65">
        <v>825915</v>
      </c>
    </row>
    <row r="66" spans="1:14">
      <c r="A66" t="s">
        <v>39</v>
      </c>
      <c r="B66" t="s">
        <v>130</v>
      </c>
      <c r="C66" t="s">
        <v>137</v>
      </c>
      <c r="D66">
        <v>5.5999999999999899</v>
      </c>
      <c r="E66">
        <v>0</v>
      </c>
      <c r="F66">
        <v>0</v>
      </c>
      <c r="G66">
        <v>0.2</v>
      </c>
      <c r="H66">
        <v>0</v>
      </c>
      <c r="I66">
        <v>0</v>
      </c>
      <c r="J66">
        <v>1.7</v>
      </c>
      <c r="K66">
        <v>0</v>
      </c>
      <c r="L66" t="s">
        <v>138</v>
      </c>
      <c r="M66" t="s">
        <v>139</v>
      </c>
      <c r="N66">
        <v>825916</v>
      </c>
    </row>
    <row r="67" spans="1:14">
      <c r="A67" t="s">
        <v>39</v>
      </c>
      <c r="B67" t="s">
        <v>130</v>
      </c>
      <c r="C67" t="s">
        <v>137</v>
      </c>
      <c r="D67">
        <v>2.4999999999999898</v>
      </c>
      <c r="E67">
        <v>0</v>
      </c>
      <c r="F67">
        <v>0</v>
      </c>
      <c r="G67">
        <v>0.2</v>
      </c>
      <c r="H67">
        <v>0</v>
      </c>
      <c r="I67">
        <v>0</v>
      </c>
      <c r="J67">
        <v>1.7</v>
      </c>
      <c r="K67">
        <v>0</v>
      </c>
      <c r="L67" t="s">
        <v>138</v>
      </c>
      <c r="M67" t="s">
        <v>139</v>
      </c>
      <c r="N67">
        <v>825917</v>
      </c>
    </row>
    <row r="68" spans="1:14">
      <c r="A68" t="s">
        <v>39</v>
      </c>
      <c r="B68" t="s">
        <v>130</v>
      </c>
      <c r="C68" t="s">
        <v>137</v>
      </c>
      <c r="D68">
        <v>12.5999999999999</v>
      </c>
      <c r="E68">
        <v>0</v>
      </c>
      <c r="F68">
        <v>0</v>
      </c>
      <c r="G68">
        <v>0.2</v>
      </c>
      <c r="H68">
        <v>0</v>
      </c>
      <c r="I68">
        <v>0</v>
      </c>
      <c r="J68">
        <v>1.7</v>
      </c>
      <c r="K68">
        <v>0</v>
      </c>
      <c r="L68" t="s">
        <v>138</v>
      </c>
      <c r="M68" t="s">
        <v>139</v>
      </c>
      <c r="N68">
        <v>825918</v>
      </c>
    </row>
    <row r="69" spans="1:14">
      <c r="A69" t="s">
        <v>29</v>
      </c>
      <c r="B69" t="s">
        <v>130</v>
      </c>
      <c r="C69" t="s">
        <v>137</v>
      </c>
      <c r="D69">
        <v>29.999999999999901</v>
      </c>
      <c r="E69">
        <v>0</v>
      </c>
      <c r="F69">
        <v>0</v>
      </c>
      <c r="G69">
        <v>0.2</v>
      </c>
      <c r="H69">
        <v>0</v>
      </c>
      <c r="I69">
        <v>0</v>
      </c>
      <c r="J69">
        <v>4.9499999999999904</v>
      </c>
      <c r="K69">
        <v>0</v>
      </c>
      <c r="L69" t="s">
        <v>132</v>
      </c>
      <c r="M69" t="s">
        <v>140</v>
      </c>
      <c r="N69">
        <v>825904</v>
      </c>
    </row>
    <row r="70" spans="1:14">
      <c r="A70" t="s">
        <v>38</v>
      </c>
      <c r="B70" t="s">
        <v>130</v>
      </c>
      <c r="C70" t="s">
        <v>137</v>
      </c>
      <c r="D70">
        <v>4.9999999999999902</v>
      </c>
      <c r="E70">
        <v>0</v>
      </c>
      <c r="F70">
        <v>0</v>
      </c>
      <c r="G70">
        <v>0.2</v>
      </c>
      <c r="H70">
        <v>0</v>
      </c>
      <c r="I70">
        <v>0</v>
      </c>
      <c r="J70">
        <v>2.6499999999999901</v>
      </c>
      <c r="K70">
        <v>2.4999999999999898</v>
      </c>
      <c r="L70" t="s">
        <v>138</v>
      </c>
      <c r="M70" t="s">
        <v>141</v>
      </c>
      <c r="N70">
        <v>825919</v>
      </c>
    </row>
    <row r="71" spans="1:14">
      <c r="A71" t="s">
        <v>30</v>
      </c>
      <c r="B71" t="s">
        <v>130</v>
      </c>
      <c r="C71" t="s">
        <v>137</v>
      </c>
      <c r="D71">
        <v>29.999999999999901</v>
      </c>
      <c r="E71">
        <v>0</v>
      </c>
      <c r="F71">
        <v>0</v>
      </c>
      <c r="G71">
        <v>0.2</v>
      </c>
      <c r="H71">
        <v>0</v>
      </c>
      <c r="I71">
        <v>0</v>
      </c>
      <c r="J71">
        <v>4.9499999999999904</v>
      </c>
      <c r="K71">
        <v>0</v>
      </c>
      <c r="L71" t="s">
        <v>132</v>
      </c>
      <c r="M71" t="s">
        <v>142</v>
      </c>
      <c r="N71">
        <v>825905</v>
      </c>
    </row>
    <row r="72" spans="1:14">
      <c r="A72" t="s">
        <v>31</v>
      </c>
      <c r="B72" t="s">
        <v>130</v>
      </c>
      <c r="C72" t="s">
        <v>137</v>
      </c>
      <c r="D72">
        <v>50.6</v>
      </c>
      <c r="E72">
        <v>0</v>
      </c>
      <c r="F72">
        <v>0</v>
      </c>
      <c r="G72">
        <v>0.2</v>
      </c>
      <c r="H72">
        <v>0</v>
      </c>
      <c r="I72">
        <v>0</v>
      </c>
      <c r="J72">
        <v>4.9499999999999904</v>
      </c>
      <c r="K72">
        <v>0</v>
      </c>
      <c r="L72" t="s">
        <v>132</v>
      </c>
      <c r="M72" t="s">
        <v>143</v>
      </c>
      <c r="N72">
        <v>825906</v>
      </c>
    </row>
    <row r="73" spans="1:14">
      <c r="A73" t="s">
        <v>32</v>
      </c>
      <c r="B73" t="s">
        <v>130</v>
      </c>
      <c r="C73" t="s">
        <v>137</v>
      </c>
      <c r="D73">
        <v>10.1</v>
      </c>
      <c r="E73">
        <v>0</v>
      </c>
      <c r="F73">
        <v>0</v>
      </c>
      <c r="G73">
        <v>0.2</v>
      </c>
      <c r="H73">
        <v>0</v>
      </c>
      <c r="I73">
        <v>0</v>
      </c>
      <c r="J73">
        <v>4.9499999999999904</v>
      </c>
      <c r="K73">
        <v>0</v>
      </c>
      <c r="L73" t="s">
        <v>132</v>
      </c>
      <c r="M73" t="s">
        <v>144</v>
      </c>
      <c r="N73">
        <v>825907</v>
      </c>
    </row>
    <row r="74" spans="1:14">
      <c r="A74" t="s">
        <v>32</v>
      </c>
      <c r="B74" t="s">
        <v>130</v>
      </c>
      <c r="C74" t="s">
        <v>137</v>
      </c>
      <c r="D74">
        <v>10.1</v>
      </c>
      <c r="E74">
        <v>0</v>
      </c>
      <c r="F74">
        <v>0</v>
      </c>
      <c r="G74">
        <v>0.2</v>
      </c>
      <c r="H74">
        <v>0</v>
      </c>
      <c r="I74">
        <v>0</v>
      </c>
      <c r="J74">
        <v>4.9499999999999904</v>
      </c>
      <c r="K74">
        <v>0</v>
      </c>
      <c r="L74" t="s">
        <v>132</v>
      </c>
      <c r="M74" t="s">
        <v>144</v>
      </c>
      <c r="N74">
        <v>825908</v>
      </c>
    </row>
    <row r="75" spans="1:14">
      <c r="A75" t="s">
        <v>33</v>
      </c>
      <c r="B75" t="s">
        <v>130</v>
      </c>
      <c r="C75" t="s">
        <v>137</v>
      </c>
      <c r="D75">
        <v>12.6</v>
      </c>
      <c r="E75">
        <v>0</v>
      </c>
      <c r="F75">
        <v>0</v>
      </c>
      <c r="G75">
        <v>0.2</v>
      </c>
      <c r="H75">
        <v>0</v>
      </c>
      <c r="I75">
        <v>0</v>
      </c>
      <c r="J75">
        <v>4.9499999999999904</v>
      </c>
      <c r="K75">
        <v>0</v>
      </c>
      <c r="L75" t="s">
        <v>138</v>
      </c>
      <c r="M75" t="s">
        <v>145</v>
      </c>
      <c r="N75">
        <v>825909</v>
      </c>
    </row>
    <row r="76" spans="1:14">
      <c r="A76" t="s">
        <v>33</v>
      </c>
      <c r="B76" t="s">
        <v>130</v>
      </c>
      <c r="C76" t="s">
        <v>137</v>
      </c>
      <c r="D76">
        <v>12.5999999999999</v>
      </c>
      <c r="E76">
        <v>0</v>
      </c>
      <c r="F76">
        <v>0</v>
      </c>
      <c r="G76">
        <v>0.2</v>
      </c>
      <c r="H76">
        <v>0</v>
      </c>
      <c r="I76">
        <v>0</v>
      </c>
      <c r="J76">
        <v>4.9499999999999904</v>
      </c>
      <c r="K76">
        <v>0</v>
      </c>
      <c r="L76" t="s">
        <v>138</v>
      </c>
      <c r="M76" t="s">
        <v>145</v>
      </c>
      <c r="N76">
        <v>825910</v>
      </c>
    </row>
    <row r="77" spans="1:14">
      <c r="A77" t="s">
        <v>33</v>
      </c>
      <c r="B77" t="s">
        <v>130</v>
      </c>
      <c r="C77" t="s">
        <v>137</v>
      </c>
      <c r="D77">
        <v>5.2</v>
      </c>
      <c r="E77">
        <v>0</v>
      </c>
      <c r="F77">
        <v>0</v>
      </c>
      <c r="G77">
        <v>0.2</v>
      </c>
      <c r="H77">
        <v>0</v>
      </c>
      <c r="I77">
        <v>0</v>
      </c>
      <c r="J77">
        <v>6.9499999999999904</v>
      </c>
      <c r="K77">
        <v>0</v>
      </c>
      <c r="L77" t="s">
        <v>138</v>
      </c>
      <c r="M77" t="s">
        <v>145</v>
      </c>
      <c r="N77">
        <v>825920</v>
      </c>
    </row>
    <row r="78" spans="1:14">
      <c r="A78" t="s">
        <v>34</v>
      </c>
      <c r="B78" t="s">
        <v>130</v>
      </c>
      <c r="C78" t="s">
        <v>137</v>
      </c>
      <c r="D78">
        <v>27.5</v>
      </c>
      <c r="E78">
        <v>0</v>
      </c>
      <c r="F78">
        <v>0</v>
      </c>
      <c r="G78">
        <v>0.2</v>
      </c>
      <c r="H78">
        <v>0</v>
      </c>
      <c r="I78">
        <v>0</v>
      </c>
      <c r="J78">
        <v>4.9499999999999904</v>
      </c>
      <c r="K78">
        <v>0</v>
      </c>
      <c r="L78" t="s">
        <v>132</v>
      </c>
      <c r="M78" t="s">
        <v>146</v>
      </c>
      <c r="N78">
        <v>825921</v>
      </c>
    </row>
    <row r="79" spans="1:14">
      <c r="A79" t="s">
        <v>34</v>
      </c>
      <c r="B79" t="s">
        <v>130</v>
      </c>
      <c r="C79" t="s">
        <v>137</v>
      </c>
      <c r="D79">
        <v>2.4999999999999898</v>
      </c>
      <c r="E79">
        <v>0</v>
      </c>
      <c r="F79">
        <v>0</v>
      </c>
      <c r="G79">
        <v>0.2</v>
      </c>
      <c r="H79">
        <v>0</v>
      </c>
      <c r="I79">
        <v>0</v>
      </c>
      <c r="J79">
        <v>6.9499999999999904</v>
      </c>
      <c r="K79">
        <v>0</v>
      </c>
      <c r="L79" t="s">
        <v>132</v>
      </c>
      <c r="M79" t="s">
        <v>146</v>
      </c>
      <c r="N79">
        <v>825922</v>
      </c>
    </row>
    <row r="80" spans="1:14">
      <c r="A80" t="s">
        <v>35</v>
      </c>
      <c r="B80" t="s">
        <v>130</v>
      </c>
      <c r="C80" t="s">
        <v>137</v>
      </c>
      <c r="D80">
        <v>4.9999999999999902</v>
      </c>
      <c r="E80">
        <v>0</v>
      </c>
      <c r="F80">
        <v>0</v>
      </c>
      <c r="G80">
        <v>0.2</v>
      </c>
      <c r="H80">
        <v>0</v>
      </c>
      <c r="I80">
        <v>0</v>
      </c>
      <c r="J80">
        <v>6.9499999999999904</v>
      </c>
      <c r="K80">
        <v>0</v>
      </c>
      <c r="L80" t="s">
        <v>138</v>
      </c>
      <c r="M80" t="s">
        <v>140</v>
      </c>
      <c r="N80">
        <v>825911</v>
      </c>
    </row>
    <row r="81" spans="1:14">
      <c r="A81" t="s">
        <v>36</v>
      </c>
      <c r="B81" t="s">
        <v>130</v>
      </c>
      <c r="C81" t="s">
        <v>137</v>
      </c>
      <c r="D81">
        <v>4.9999999999999902</v>
      </c>
      <c r="E81">
        <v>0</v>
      </c>
      <c r="F81">
        <v>0</v>
      </c>
      <c r="G81">
        <v>0.2</v>
      </c>
      <c r="H81">
        <v>0</v>
      </c>
      <c r="I81">
        <v>0</v>
      </c>
      <c r="J81">
        <v>6.9499999999999904</v>
      </c>
      <c r="K81">
        <v>0</v>
      </c>
      <c r="L81" t="s">
        <v>138</v>
      </c>
      <c r="M81" t="s">
        <v>142</v>
      </c>
      <c r="N81">
        <v>825913</v>
      </c>
    </row>
    <row r="82" spans="1:14">
      <c r="A82" t="s">
        <v>37</v>
      </c>
      <c r="B82" t="s">
        <v>130</v>
      </c>
      <c r="C82" t="s">
        <v>137</v>
      </c>
      <c r="D82">
        <v>30.4</v>
      </c>
      <c r="E82">
        <v>0</v>
      </c>
      <c r="F82">
        <v>0</v>
      </c>
      <c r="G82">
        <v>0.2</v>
      </c>
      <c r="H82">
        <v>0</v>
      </c>
      <c r="I82">
        <v>0</v>
      </c>
      <c r="J82">
        <v>6.9499999999999904</v>
      </c>
      <c r="K82">
        <v>0</v>
      </c>
      <c r="L82" t="s">
        <v>138</v>
      </c>
      <c r="M82" t="s">
        <v>144</v>
      </c>
      <c r="N82">
        <v>825912</v>
      </c>
    </row>
    <row r="83" spans="1:14">
      <c r="A83" t="s">
        <v>27</v>
      </c>
      <c r="B83" t="s">
        <v>130</v>
      </c>
      <c r="C83" t="s">
        <v>147</v>
      </c>
      <c r="D83">
        <v>3.94999999999999</v>
      </c>
      <c r="E83">
        <v>0</v>
      </c>
      <c r="F83">
        <v>0</v>
      </c>
      <c r="G83">
        <v>0.4</v>
      </c>
      <c r="H83">
        <v>0</v>
      </c>
      <c r="I83">
        <v>0</v>
      </c>
      <c r="J83">
        <v>0.5</v>
      </c>
      <c r="K83">
        <v>0</v>
      </c>
      <c r="L83" t="s">
        <v>132</v>
      </c>
      <c r="M83" t="s">
        <v>147</v>
      </c>
      <c r="N83">
        <v>825954</v>
      </c>
    </row>
    <row r="84" spans="1:14">
      <c r="A84" t="s">
        <v>27</v>
      </c>
      <c r="B84" t="s">
        <v>130</v>
      </c>
      <c r="C84" t="s">
        <v>147</v>
      </c>
      <c r="D84">
        <v>4.0999999999999996</v>
      </c>
      <c r="E84">
        <v>0</v>
      </c>
      <c r="F84">
        <v>0</v>
      </c>
      <c r="G84">
        <v>0.4</v>
      </c>
      <c r="H84">
        <v>0</v>
      </c>
      <c r="I84">
        <v>0</v>
      </c>
      <c r="J84">
        <v>0.5</v>
      </c>
      <c r="K84">
        <v>0</v>
      </c>
      <c r="L84" t="s">
        <v>132</v>
      </c>
      <c r="M84" t="s">
        <v>147</v>
      </c>
      <c r="N84">
        <v>825956</v>
      </c>
    </row>
    <row r="85" spans="1:14">
      <c r="A85" t="s">
        <v>27</v>
      </c>
      <c r="B85" t="s">
        <v>130</v>
      </c>
      <c r="C85" t="s">
        <v>147</v>
      </c>
      <c r="D85">
        <v>3.94999999999999</v>
      </c>
      <c r="E85">
        <v>0</v>
      </c>
      <c r="F85">
        <v>0</v>
      </c>
      <c r="G85">
        <v>0.4</v>
      </c>
      <c r="H85">
        <v>0</v>
      </c>
      <c r="I85">
        <v>0</v>
      </c>
      <c r="J85">
        <v>0.5</v>
      </c>
      <c r="K85">
        <v>0</v>
      </c>
      <c r="L85" t="s">
        <v>132</v>
      </c>
      <c r="M85" t="s">
        <v>147</v>
      </c>
      <c r="N85">
        <v>825958</v>
      </c>
    </row>
    <row r="86" spans="1:14">
      <c r="A86" t="s">
        <v>27</v>
      </c>
      <c r="B86" t="s">
        <v>130</v>
      </c>
      <c r="C86" t="s">
        <v>147</v>
      </c>
      <c r="D86">
        <v>4.0999999999999996</v>
      </c>
      <c r="E86">
        <v>0</v>
      </c>
      <c r="F86">
        <v>0</v>
      </c>
      <c r="G86">
        <v>0.4</v>
      </c>
      <c r="H86">
        <v>0</v>
      </c>
      <c r="I86">
        <v>0</v>
      </c>
      <c r="J86">
        <v>0.5</v>
      </c>
      <c r="K86">
        <v>0</v>
      </c>
      <c r="L86" t="s">
        <v>132</v>
      </c>
      <c r="M86" t="s">
        <v>147</v>
      </c>
      <c r="N86">
        <v>825960</v>
      </c>
    </row>
    <row r="87" spans="1:14">
      <c r="A87" t="s">
        <v>27</v>
      </c>
      <c r="B87" t="s">
        <v>130</v>
      </c>
      <c r="C87" t="s">
        <v>147</v>
      </c>
      <c r="D87">
        <v>3.94999999999999</v>
      </c>
      <c r="E87">
        <v>0</v>
      </c>
      <c r="F87">
        <v>0</v>
      </c>
      <c r="G87">
        <v>0.4</v>
      </c>
      <c r="H87">
        <v>0</v>
      </c>
      <c r="I87">
        <v>0</v>
      </c>
      <c r="J87">
        <v>0.5</v>
      </c>
      <c r="K87">
        <v>0</v>
      </c>
      <c r="L87" t="s">
        <v>132</v>
      </c>
      <c r="M87" t="s">
        <v>147</v>
      </c>
      <c r="N87">
        <v>825962</v>
      </c>
    </row>
    <row r="88" spans="1:14">
      <c r="A88" t="s">
        <v>27</v>
      </c>
      <c r="B88" t="s">
        <v>130</v>
      </c>
      <c r="C88" t="s">
        <v>147</v>
      </c>
      <c r="D88">
        <v>4.0999999999999996</v>
      </c>
      <c r="E88">
        <v>0</v>
      </c>
      <c r="F88">
        <v>0</v>
      </c>
      <c r="G88">
        <v>0.4</v>
      </c>
      <c r="H88">
        <v>0</v>
      </c>
      <c r="I88">
        <v>0</v>
      </c>
      <c r="J88">
        <v>0.5</v>
      </c>
      <c r="K88">
        <v>0</v>
      </c>
      <c r="L88" t="s">
        <v>132</v>
      </c>
      <c r="M88" t="s">
        <v>147</v>
      </c>
      <c r="N88">
        <v>825964</v>
      </c>
    </row>
    <row r="89" spans="1:14">
      <c r="A89" t="s">
        <v>27</v>
      </c>
      <c r="B89" t="s">
        <v>130</v>
      </c>
      <c r="C89" t="s">
        <v>147</v>
      </c>
      <c r="D89">
        <v>3.94999999999999</v>
      </c>
      <c r="E89">
        <v>0</v>
      </c>
      <c r="F89">
        <v>0</v>
      </c>
      <c r="G89">
        <v>0.4</v>
      </c>
      <c r="H89">
        <v>0</v>
      </c>
      <c r="I89">
        <v>0</v>
      </c>
      <c r="J89">
        <v>0.5</v>
      </c>
      <c r="K89">
        <v>0</v>
      </c>
      <c r="L89" t="s">
        <v>132</v>
      </c>
      <c r="M89" t="s">
        <v>147</v>
      </c>
      <c r="N89">
        <v>825966</v>
      </c>
    </row>
    <row r="90" spans="1:14">
      <c r="A90" t="s">
        <v>27</v>
      </c>
      <c r="B90" t="s">
        <v>130</v>
      </c>
      <c r="C90" t="s">
        <v>147</v>
      </c>
      <c r="D90">
        <v>4.0999999999999996</v>
      </c>
      <c r="E90">
        <v>0</v>
      </c>
      <c r="F90">
        <v>0</v>
      </c>
      <c r="G90">
        <v>0.4</v>
      </c>
      <c r="H90">
        <v>0</v>
      </c>
      <c r="I90">
        <v>0</v>
      </c>
      <c r="J90">
        <v>0.5</v>
      </c>
      <c r="K90">
        <v>0</v>
      </c>
      <c r="L90" t="s">
        <v>132</v>
      </c>
      <c r="M90" t="s">
        <v>147</v>
      </c>
      <c r="N90">
        <v>825968</v>
      </c>
    </row>
    <row r="91" spans="1:14">
      <c r="A91" t="s">
        <v>27</v>
      </c>
      <c r="B91" t="s">
        <v>130</v>
      </c>
      <c r="C91" t="s">
        <v>147</v>
      </c>
      <c r="D91">
        <v>4.0999999999999996</v>
      </c>
      <c r="E91">
        <v>0</v>
      </c>
      <c r="F91">
        <v>0</v>
      </c>
      <c r="G91">
        <v>0.4</v>
      </c>
      <c r="H91">
        <v>0</v>
      </c>
      <c r="I91">
        <v>0</v>
      </c>
      <c r="J91">
        <v>0.5</v>
      </c>
      <c r="K91">
        <v>0</v>
      </c>
      <c r="L91" t="s">
        <v>132</v>
      </c>
      <c r="M91" t="s">
        <v>147</v>
      </c>
      <c r="N91">
        <v>825970</v>
      </c>
    </row>
    <row r="92" spans="1:14">
      <c r="A92" t="s">
        <v>27</v>
      </c>
      <c r="B92" t="s">
        <v>130</v>
      </c>
      <c r="C92" t="s">
        <v>147</v>
      </c>
      <c r="D92">
        <v>3.94999999999999</v>
      </c>
      <c r="E92">
        <v>0</v>
      </c>
      <c r="F92">
        <v>0</v>
      </c>
      <c r="G92">
        <v>0.4</v>
      </c>
      <c r="H92">
        <v>0</v>
      </c>
      <c r="I92">
        <v>0</v>
      </c>
      <c r="J92">
        <v>0.5</v>
      </c>
      <c r="K92">
        <v>0</v>
      </c>
      <c r="L92" t="s">
        <v>132</v>
      </c>
      <c r="M92" t="s">
        <v>147</v>
      </c>
      <c r="N92">
        <v>825972</v>
      </c>
    </row>
    <row r="93" spans="1:14">
      <c r="A93" t="s">
        <v>27</v>
      </c>
      <c r="B93" t="s">
        <v>130</v>
      </c>
      <c r="C93" t="s">
        <v>147</v>
      </c>
      <c r="D93">
        <v>4.0999999999999996</v>
      </c>
      <c r="E93">
        <v>0</v>
      </c>
      <c r="F93">
        <v>0</v>
      </c>
      <c r="G93">
        <v>0.4</v>
      </c>
      <c r="H93">
        <v>0</v>
      </c>
      <c r="I93">
        <v>0</v>
      </c>
      <c r="J93">
        <v>0.5</v>
      </c>
      <c r="K93">
        <v>0</v>
      </c>
      <c r="L93" t="s">
        <v>132</v>
      </c>
      <c r="M93" t="s">
        <v>147</v>
      </c>
      <c r="N93">
        <v>825974</v>
      </c>
    </row>
    <row r="94" spans="1:14">
      <c r="A94" t="s">
        <v>27</v>
      </c>
      <c r="B94" t="s">
        <v>130</v>
      </c>
      <c r="C94" t="s">
        <v>147</v>
      </c>
      <c r="D94">
        <v>3.94999999999999</v>
      </c>
      <c r="E94">
        <v>0</v>
      </c>
      <c r="F94">
        <v>0</v>
      </c>
      <c r="G94">
        <v>0.4</v>
      </c>
      <c r="H94">
        <v>0</v>
      </c>
      <c r="I94">
        <v>0</v>
      </c>
      <c r="J94">
        <v>0.5</v>
      </c>
      <c r="K94">
        <v>0</v>
      </c>
      <c r="L94" t="s">
        <v>132</v>
      </c>
      <c r="M94" t="s">
        <v>147</v>
      </c>
      <c r="N94">
        <v>825976</v>
      </c>
    </row>
    <row r="95" spans="1:14">
      <c r="A95" t="s">
        <v>27</v>
      </c>
      <c r="B95" t="s">
        <v>130</v>
      </c>
      <c r="C95" t="s">
        <v>147</v>
      </c>
      <c r="D95">
        <v>4.0999999999999996</v>
      </c>
      <c r="E95">
        <v>0</v>
      </c>
      <c r="F95">
        <v>0</v>
      </c>
      <c r="G95">
        <v>0.4</v>
      </c>
      <c r="H95">
        <v>0</v>
      </c>
      <c r="I95">
        <v>0</v>
      </c>
      <c r="J95">
        <v>0.5</v>
      </c>
      <c r="K95">
        <v>0</v>
      </c>
      <c r="L95" t="s">
        <v>132</v>
      </c>
      <c r="M95" t="s">
        <v>147</v>
      </c>
      <c r="N95">
        <v>825978</v>
      </c>
    </row>
    <row r="96" spans="1:14">
      <c r="A96" t="s">
        <v>27</v>
      </c>
      <c r="B96" t="s">
        <v>130</v>
      </c>
      <c r="C96" t="s">
        <v>147</v>
      </c>
      <c r="D96">
        <v>3.94999999999999</v>
      </c>
      <c r="E96">
        <v>0</v>
      </c>
      <c r="F96">
        <v>0</v>
      </c>
      <c r="G96">
        <v>0.4</v>
      </c>
      <c r="H96">
        <v>0</v>
      </c>
      <c r="I96">
        <v>0</v>
      </c>
      <c r="J96">
        <v>0.5</v>
      </c>
      <c r="K96">
        <v>0</v>
      </c>
      <c r="L96" t="s">
        <v>132</v>
      </c>
      <c r="M96" t="s">
        <v>147</v>
      </c>
      <c r="N96">
        <v>825980</v>
      </c>
    </row>
    <row r="97" spans="1:14">
      <c r="A97" t="s">
        <v>27</v>
      </c>
      <c r="B97" t="s">
        <v>130</v>
      </c>
      <c r="C97" t="s">
        <v>147</v>
      </c>
      <c r="D97">
        <v>4.0999999999999996</v>
      </c>
      <c r="E97">
        <v>0</v>
      </c>
      <c r="F97">
        <v>0</v>
      </c>
      <c r="G97">
        <v>0.4</v>
      </c>
      <c r="H97">
        <v>0</v>
      </c>
      <c r="I97">
        <v>0</v>
      </c>
      <c r="J97">
        <v>0.5</v>
      </c>
      <c r="K97">
        <v>0</v>
      </c>
      <c r="L97" t="s">
        <v>132</v>
      </c>
      <c r="M97" t="s">
        <v>147</v>
      </c>
      <c r="N97">
        <v>825982</v>
      </c>
    </row>
    <row r="98" spans="1:14">
      <c r="A98" t="s">
        <v>27</v>
      </c>
      <c r="B98" t="s">
        <v>130</v>
      </c>
      <c r="C98" t="s">
        <v>147</v>
      </c>
      <c r="D98">
        <v>3.94999999999999</v>
      </c>
      <c r="E98">
        <v>0</v>
      </c>
      <c r="F98">
        <v>0</v>
      </c>
      <c r="G98">
        <v>0.4</v>
      </c>
      <c r="H98">
        <v>0</v>
      </c>
      <c r="I98">
        <v>0</v>
      </c>
      <c r="J98">
        <v>0.5</v>
      </c>
      <c r="K98">
        <v>0</v>
      </c>
      <c r="L98" t="s">
        <v>132</v>
      </c>
      <c r="M98" t="s">
        <v>147</v>
      </c>
      <c r="N98">
        <v>825984</v>
      </c>
    </row>
    <row r="99" spans="1:14">
      <c r="A99" t="s">
        <v>27</v>
      </c>
      <c r="B99" t="s">
        <v>130</v>
      </c>
      <c r="C99" t="s">
        <v>147</v>
      </c>
      <c r="D99">
        <v>4.0999999999999996</v>
      </c>
      <c r="E99">
        <v>0</v>
      </c>
      <c r="F99">
        <v>0</v>
      </c>
      <c r="G99">
        <v>0.4</v>
      </c>
      <c r="H99">
        <v>0</v>
      </c>
      <c r="I99">
        <v>0</v>
      </c>
      <c r="J99">
        <v>0.5</v>
      </c>
      <c r="K99">
        <v>0</v>
      </c>
      <c r="L99" t="s">
        <v>132</v>
      </c>
      <c r="M99" t="s">
        <v>147</v>
      </c>
      <c r="N99">
        <v>825986</v>
      </c>
    </row>
    <row r="100" spans="1:14">
      <c r="A100" s="16" t="s">
        <v>27</v>
      </c>
      <c r="B100" s="16" t="s">
        <v>130</v>
      </c>
      <c r="C100" s="16" t="s">
        <v>147</v>
      </c>
      <c r="D100" s="16">
        <v>4.0999999999999996</v>
      </c>
      <c r="E100" s="16">
        <v>0</v>
      </c>
      <c r="F100" s="16">
        <v>0</v>
      </c>
      <c r="G100" s="16">
        <v>0.4</v>
      </c>
      <c r="H100" s="16">
        <v>0</v>
      </c>
      <c r="I100" s="16">
        <v>0</v>
      </c>
      <c r="J100" s="16">
        <v>0.5</v>
      </c>
      <c r="K100" s="16">
        <v>0</v>
      </c>
      <c r="L100" t="s">
        <v>132</v>
      </c>
      <c r="M100" t="s">
        <v>147</v>
      </c>
      <c r="N100">
        <v>825988</v>
      </c>
    </row>
    <row r="101" spans="1:14">
      <c r="A101" s="16" t="s">
        <v>27</v>
      </c>
      <c r="B101" s="16" t="s">
        <v>130</v>
      </c>
      <c r="C101" s="16" t="s">
        <v>147</v>
      </c>
      <c r="D101" s="16">
        <v>3.94999999999999</v>
      </c>
      <c r="E101" s="16">
        <v>0</v>
      </c>
      <c r="F101" s="16">
        <v>0</v>
      </c>
      <c r="G101" s="16">
        <v>0.4</v>
      </c>
      <c r="H101" s="16">
        <v>0</v>
      </c>
      <c r="I101" s="16">
        <v>0</v>
      </c>
      <c r="J101" s="16">
        <v>0.5</v>
      </c>
      <c r="K101" s="16">
        <v>0</v>
      </c>
      <c r="L101" t="s">
        <v>132</v>
      </c>
      <c r="M101" t="s">
        <v>147</v>
      </c>
      <c r="N101">
        <v>825990</v>
      </c>
    </row>
    <row r="102" spans="1:14">
      <c r="A102" s="16" t="s">
        <v>27</v>
      </c>
      <c r="B102" s="16" t="s">
        <v>130</v>
      </c>
      <c r="C102" s="16" t="s">
        <v>147</v>
      </c>
      <c r="D102" s="16">
        <v>4.0999999999999996</v>
      </c>
      <c r="E102" s="16">
        <v>0</v>
      </c>
      <c r="F102" s="16">
        <v>0</v>
      </c>
      <c r="G102" s="16">
        <v>0.4</v>
      </c>
      <c r="H102" s="16">
        <v>0</v>
      </c>
      <c r="I102" s="16">
        <v>0</v>
      </c>
      <c r="J102" s="16">
        <v>0.5</v>
      </c>
      <c r="K102" s="16">
        <v>0</v>
      </c>
      <c r="L102" t="s">
        <v>132</v>
      </c>
      <c r="M102" t="s">
        <v>147</v>
      </c>
      <c r="N102">
        <v>825992</v>
      </c>
    </row>
    <row r="103" spans="1:14">
      <c r="A103" s="16" t="s">
        <v>27</v>
      </c>
      <c r="B103" s="16" t="s">
        <v>130</v>
      </c>
      <c r="C103" s="16" t="s">
        <v>147</v>
      </c>
      <c r="D103" s="16">
        <v>3.94999999999999</v>
      </c>
      <c r="E103" s="16">
        <v>0</v>
      </c>
      <c r="F103" s="16">
        <v>0</v>
      </c>
      <c r="G103" s="16">
        <v>0.4</v>
      </c>
      <c r="H103" s="16">
        <v>0</v>
      </c>
      <c r="I103" s="16">
        <v>0</v>
      </c>
      <c r="J103" s="16">
        <v>0.5</v>
      </c>
      <c r="K103" s="16">
        <v>0</v>
      </c>
      <c r="L103" t="s">
        <v>132</v>
      </c>
      <c r="M103" t="s">
        <v>147</v>
      </c>
      <c r="N103">
        <v>825994</v>
      </c>
    </row>
    <row r="104" spans="1:14">
      <c r="A104" s="16" t="s">
        <v>27</v>
      </c>
      <c r="B104" s="16" t="s">
        <v>130</v>
      </c>
      <c r="C104" s="16" t="s">
        <v>147</v>
      </c>
      <c r="D104" s="16">
        <v>4.0999999999999996</v>
      </c>
      <c r="E104" s="16">
        <v>0</v>
      </c>
      <c r="F104" s="16">
        <v>0</v>
      </c>
      <c r="G104" s="16">
        <v>0.4</v>
      </c>
      <c r="H104" s="16">
        <v>0</v>
      </c>
      <c r="I104" s="16">
        <v>0</v>
      </c>
      <c r="J104" s="16">
        <v>0.5</v>
      </c>
      <c r="K104" s="16">
        <v>0</v>
      </c>
      <c r="L104" t="s">
        <v>132</v>
      </c>
      <c r="M104" t="s">
        <v>147</v>
      </c>
      <c r="N104">
        <v>825996</v>
      </c>
    </row>
    <row r="105" spans="1:14">
      <c r="A105" s="16" t="s">
        <v>27</v>
      </c>
      <c r="B105" s="16" t="s">
        <v>130</v>
      </c>
      <c r="C105" s="16" t="s">
        <v>147</v>
      </c>
      <c r="D105" s="16">
        <v>3.94999999999999</v>
      </c>
      <c r="E105" s="16">
        <v>0</v>
      </c>
      <c r="F105" s="16">
        <v>0</v>
      </c>
      <c r="G105" s="16">
        <v>0.4</v>
      </c>
      <c r="H105" s="16">
        <v>0</v>
      </c>
      <c r="I105" s="16">
        <v>0</v>
      </c>
      <c r="J105" s="16">
        <v>0.5</v>
      </c>
      <c r="K105" s="16">
        <v>0</v>
      </c>
      <c r="L105" t="s">
        <v>132</v>
      </c>
      <c r="M105" t="s">
        <v>147</v>
      </c>
      <c r="N105">
        <v>825998</v>
      </c>
    </row>
    <row r="106" spans="1:14">
      <c r="A106" t="s">
        <v>27</v>
      </c>
      <c r="B106" t="s">
        <v>130</v>
      </c>
      <c r="C106" t="s">
        <v>147</v>
      </c>
      <c r="D106">
        <v>4.0999999999999996</v>
      </c>
      <c r="E106">
        <v>0</v>
      </c>
      <c r="F106">
        <v>0</v>
      </c>
      <c r="G106">
        <v>0.4</v>
      </c>
      <c r="H106">
        <v>0</v>
      </c>
      <c r="I106">
        <v>0</v>
      </c>
      <c r="J106">
        <v>0.5</v>
      </c>
      <c r="K106">
        <v>0</v>
      </c>
      <c r="L106" t="s">
        <v>132</v>
      </c>
      <c r="M106" t="s">
        <v>147</v>
      </c>
      <c r="N106">
        <v>826000</v>
      </c>
    </row>
    <row r="107" spans="1:14">
      <c r="A107" t="s">
        <v>27</v>
      </c>
      <c r="B107" t="s">
        <v>130</v>
      </c>
      <c r="C107" t="s">
        <v>147</v>
      </c>
      <c r="D107">
        <v>3.94999999999999</v>
      </c>
      <c r="E107">
        <v>0</v>
      </c>
      <c r="F107">
        <v>0</v>
      </c>
      <c r="G107">
        <v>0.4</v>
      </c>
      <c r="H107">
        <v>0</v>
      </c>
      <c r="I107">
        <v>0</v>
      </c>
      <c r="J107">
        <v>0.5</v>
      </c>
      <c r="K107">
        <v>0</v>
      </c>
      <c r="L107" t="s">
        <v>132</v>
      </c>
      <c r="M107" t="s">
        <v>147</v>
      </c>
      <c r="N107">
        <v>826002</v>
      </c>
    </row>
    <row r="108" spans="1:14">
      <c r="A108" t="s">
        <v>27</v>
      </c>
      <c r="B108" t="s">
        <v>130</v>
      </c>
      <c r="C108" t="s">
        <v>147</v>
      </c>
      <c r="D108">
        <v>4.0999999999999996</v>
      </c>
      <c r="E108">
        <v>0</v>
      </c>
      <c r="F108">
        <v>0</v>
      </c>
      <c r="G108">
        <v>0.4</v>
      </c>
      <c r="H108">
        <v>0</v>
      </c>
      <c r="I108">
        <v>0</v>
      </c>
      <c r="J108">
        <v>0.5</v>
      </c>
      <c r="K108">
        <v>0</v>
      </c>
      <c r="L108" t="s">
        <v>132</v>
      </c>
      <c r="M108" t="s">
        <v>147</v>
      </c>
      <c r="N108">
        <v>826004</v>
      </c>
    </row>
    <row r="109" spans="1:14">
      <c r="A109" t="s">
        <v>27</v>
      </c>
      <c r="B109" t="s">
        <v>130</v>
      </c>
      <c r="C109" t="s">
        <v>147</v>
      </c>
      <c r="D109">
        <v>4.0999999999999996</v>
      </c>
      <c r="E109">
        <v>0</v>
      </c>
      <c r="F109">
        <v>0</v>
      </c>
      <c r="G109">
        <v>0.4</v>
      </c>
      <c r="H109">
        <v>0</v>
      </c>
      <c r="I109">
        <v>0</v>
      </c>
      <c r="J109">
        <v>0.5</v>
      </c>
      <c r="K109">
        <v>0</v>
      </c>
      <c r="L109" t="s">
        <v>132</v>
      </c>
      <c r="M109" t="s">
        <v>147</v>
      </c>
      <c r="N109">
        <v>826006</v>
      </c>
    </row>
    <row r="110" spans="1:14">
      <c r="A110" t="s">
        <v>27</v>
      </c>
      <c r="B110" t="s">
        <v>130</v>
      </c>
      <c r="C110" t="s">
        <v>147</v>
      </c>
      <c r="D110">
        <v>3.94999999999999</v>
      </c>
      <c r="E110">
        <v>0</v>
      </c>
      <c r="F110">
        <v>0</v>
      </c>
      <c r="G110">
        <v>0.4</v>
      </c>
      <c r="H110">
        <v>0</v>
      </c>
      <c r="I110">
        <v>0</v>
      </c>
      <c r="J110">
        <v>0.5</v>
      </c>
      <c r="K110">
        <v>0</v>
      </c>
      <c r="L110" t="s">
        <v>132</v>
      </c>
      <c r="M110" t="s">
        <v>147</v>
      </c>
      <c r="N110">
        <v>826008</v>
      </c>
    </row>
    <row r="111" spans="1:14">
      <c r="A111" t="s">
        <v>27</v>
      </c>
      <c r="B111" t="s">
        <v>130</v>
      </c>
      <c r="C111" t="s">
        <v>147</v>
      </c>
      <c r="D111">
        <v>4.0999999999999996</v>
      </c>
      <c r="E111">
        <v>0</v>
      </c>
      <c r="F111">
        <v>0</v>
      </c>
      <c r="G111">
        <v>0.4</v>
      </c>
      <c r="H111">
        <v>0</v>
      </c>
      <c r="I111">
        <v>0</v>
      </c>
      <c r="J111">
        <v>0.5</v>
      </c>
      <c r="K111">
        <v>0</v>
      </c>
      <c r="L111" t="s">
        <v>132</v>
      </c>
      <c r="M111" t="s">
        <v>147</v>
      </c>
      <c r="N111">
        <v>826010</v>
      </c>
    </row>
    <row r="112" spans="1:14">
      <c r="A112" t="s">
        <v>27</v>
      </c>
      <c r="B112" t="s">
        <v>130</v>
      </c>
      <c r="C112" t="s">
        <v>147</v>
      </c>
      <c r="D112">
        <v>3.94999999999999</v>
      </c>
      <c r="E112">
        <v>0</v>
      </c>
      <c r="F112">
        <v>0</v>
      </c>
      <c r="G112">
        <v>0.4</v>
      </c>
      <c r="H112">
        <v>0</v>
      </c>
      <c r="I112">
        <v>0</v>
      </c>
      <c r="J112">
        <v>0.5</v>
      </c>
      <c r="K112">
        <v>0</v>
      </c>
      <c r="L112" t="s">
        <v>132</v>
      </c>
      <c r="M112" t="s">
        <v>147</v>
      </c>
      <c r="N112">
        <v>826012</v>
      </c>
    </row>
    <row r="113" spans="1:14">
      <c r="A113" t="s">
        <v>27</v>
      </c>
      <c r="B113" t="s">
        <v>130</v>
      </c>
      <c r="C113" t="s">
        <v>147</v>
      </c>
      <c r="D113">
        <v>4.0999999999999996</v>
      </c>
      <c r="E113">
        <v>0</v>
      </c>
      <c r="F113">
        <v>0</v>
      </c>
      <c r="G113">
        <v>0.4</v>
      </c>
      <c r="H113">
        <v>0</v>
      </c>
      <c r="I113">
        <v>0</v>
      </c>
      <c r="J113">
        <v>0.5</v>
      </c>
      <c r="K113">
        <v>0</v>
      </c>
      <c r="L113" t="s">
        <v>132</v>
      </c>
      <c r="M113" t="s">
        <v>147</v>
      </c>
      <c r="N113">
        <v>826014</v>
      </c>
    </row>
    <row r="114" spans="1:14">
      <c r="A114" t="s">
        <v>27</v>
      </c>
      <c r="B114" t="s">
        <v>130</v>
      </c>
      <c r="C114" t="s">
        <v>147</v>
      </c>
      <c r="D114">
        <v>3.94999999999999</v>
      </c>
      <c r="E114">
        <v>0</v>
      </c>
      <c r="F114">
        <v>0</v>
      </c>
      <c r="G114">
        <v>0.4</v>
      </c>
      <c r="H114">
        <v>0</v>
      </c>
      <c r="I114">
        <v>0</v>
      </c>
      <c r="J114">
        <v>0.5</v>
      </c>
      <c r="K114">
        <v>0</v>
      </c>
      <c r="L114" t="s">
        <v>132</v>
      </c>
      <c r="M114" t="s">
        <v>147</v>
      </c>
      <c r="N114">
        <v>826016</v>
      </c>
    </row>
    <row r="115" spans="1:14">
      <c r="A115" t="s">
        <v>27</v>
      </c>
      <c r="B115" t="s">
        <v>130</v>
      </c>
      <c r="C115" t="s">
        <v>147</v>
      </c>
      <c r="D115">
        <v>4.0999999999999996</v>
      </c>
      <c r="E115">
        <v>0</v>
      </c>
      <c r="F115">
        <v>0</v>
      </c>
      <c r="G115">
        <v>0.4</v>
      </c>
      <c r="H115">
        <v>0</v>
      </c>
      <c r="I115">
        <v>0</v>
      </c>
      <c r="J115">
        <v>0.5</v>
      </c>
      <c r="K115">
        <v>0</v>
      </c>
      <c r="L115" t="s">
        <v>132</v>
      </c>
      <c r="M115" t="s">
        <v>147</v>
      </c>
      <c r="N115">
        <v>826018</v>
      </c>
    </row>
    <row r="116" spans="1:14">
      <c r="A116" t="s">
        <v>27</v>
      </c>
      <c r="B116" t="s">
        <v>130</v>
      </c>
      <c r="C116" t="s">
        <v>147</v>
      </c>
      <c r="D116">
        <v>3.94999999999999</v>
      </c>
      <c r="E116">
        <v>0</v>
      </c>
      <c r="F116">
        <v>0</v>
      </c>
      <c r="G116">
        <v>0.4</v>
      </c>
      <c r="H116">
        <v>0</v>
      </c>
      <c r="I116">
        <v>0</v>
      </c>
      <c r="J116">
        <v>0.5</v>
      </c>
      <c r="K116">
        <v>0</v>
      </c>
      <c r="L116" t="s">
        <v>132</v>
      </c>
      <c r="M116" t="s">
        <v>147</v>
      </c>
      <c r="N116">
        <v>826020</v>
      </c>
    </row>
    <row r="117" spans="1:14">
      <c r="A117" t="s">
        <v>27</v>
      </c>
      <c r="B117" t="s">
        <v>130</v>
      </c>
      <c r="C117" t="s">
        <v>147</v>
      </c>
      <c r="D117">
        <v>4.0999999999999996</v>
      </c>
      <c r="E117">
        <v>0</v>
      </c>
      <c r="F117">
        <v>0</v>
      </c>
      <c r="G117">
        <v>0.4</v>
      </c>
      <c r="H117">
        <v>0</v>
      </c>
      <c r="I117">
        <v>0</v>
      </c>
      <c r="J117">
        <v>0.5</v>
      </c>
      <c r="K117">
        <v>0</v>
      </c>
      <c r="L117" t="s">
        <v>132</v>
      </c>
      <c r="M117" t="s">
        <v>147</v>
      </c>
      <c r="N117">
        <v>826022</v>
      </c>
    </row>
    <row r="118" spans="1:14">
      <c r="A118" t="s">
        <v>27</v>
      </c>
      <c r="B118" t="s">
        <v>130</v>
      </c>
      <c r="C118" t="s">
        <v>147</v>
      </c>
      <c r="D118">
        <v>4.0999999999999996</v>
      </c>
      <c r="E118">
        <v>0</v>
      </c>
      <c r="F118">
        <v>0</v>
      </c>
      <c r="G118">
        <v>0.4</v>
      </c>
      <c r="H118">
        <v>0</v>
      </c>
      <c r="I118">
        <v>0</v>
      </c>
      <c r="J118">
        <v>0.5</v>
      </c>
      <c r="K118">
        <v>0</v>
      </c>
      <c r="L118" t="s">
        <v>132</v>
      </c>
      <c r="M118" t="s">
        <v>147</v>
      </c>
      <c r="N118">
        <v>826024</v>
      </c>
    </row>
    <row r="119" spans="1:14">
      <c r="A119" t="s">
        <v>27</v>
      </c>
      <c r="B119" t="s">
        <v>130</v>
      </c>
      <c r="C119" t="s">
        <v>147</v>
      </c>
      <c r="D119">
        <v>3.94999999999999</v>
      </c>
      <c r="E119">
        <v>0</v>
      </c>
      <c r="F119">
        <v>0</v>
      </c>
      <c r="G119">
        <v>0.4</v>
      </c>
      <c r="H119">
        <v>0</v>
      </c>
      <c r="I119">
        <v>0</v>
      </c>
      <c r="J119">
        <v>0.5</v>
      </c>
      <c r="K119">
        <v>0</v>
      </c>
      <c r="L119" t="s">
        <v>132</v>
      </c>
      <c r="M119" t="s">
        <v>147</v>
      </c>
      <c r="N119">
        <v>826026</v>
      </c>
    </row>
    <row r="120" spans="1:14">
      <c r="A120" t="s">
        <v>27</v>
      </c>
      <c r="B120" t="s">
        <v>130</v>
      </c>
      <c r="C120" t="s">
        <v>147</v>
      </c>
      <c r="D120">
        <v>4.0999999999999996</v>
      </c>
      <c r="E120">
        <v>0</v>
      </c>
      <c r="F120">
        <v>0</v>
      </c>
      <c r="G120">
        <v>0.4</v>
      </c>
      <c r="H120">
        <v>0</v>
      </c>
      <c r="I120">
        <v>0</v>
      </c>
      <c r="J120">
        <v>0.5</v>
      </c>
      <c r="K120">
        <v>0</v>
      </c>
      <c r="L120" t="s">
        <v>132</v>
      </c>
      <c r="M120" t="s">
        <v>147</v>
      </c>
      <c r="N120">
        <v>826028</v>
      </c>
    </row>
    <row r="121" spans="1:14">
      <c r="A121" t="s">
        <v>27</v>
      </c>
      <c r="B121" t="s">
        <v>130</v>
      </c>
      <c r="C121" t="s">
        <v>147</v>
      </c>
      <c r="D121">
        <v>3.94999999999999</v>
      </c>
      <c r="E121">
        <v>0</v>
      </c>
      <c r="F121">
        <v>0</v>
      </c>
      <c r="G121">
        <v>0.4</v>
      </c>
      <c r="H121">
        <v>0</v>
      </c>
      <c r="I121">
        <v>0</v>
      </c>
      <c r="J121">
        <v>0.5</v>
      </c>
      <c r="K121">
        <v>0</v>
      </c>
      <c r="L121" t="s">
        <v>132</v>
      </c>
      <c r="M121" t="s">
        <v>147</v>
      </c>
      <c r="N121">
        <v>826030</v>
      </c>
    </row>
    <row r="122" spans="1:14">
      <c r="A122" t="s">
        <v>27</v>
      </c>
      <c r="B122" t="s">
        <v>130</v>
      </c>
      <c r="C122" t="s">
        <v>147</v>
      </c>
      <c r="D122">
        <v>4.0999999999999996</v>
      </c>
      <c r="E122">
        <v>0</v>
      </c>
      <c r="F122">
        <v>0</v>
      </c>
      <c r="G122">
        <v>0.4</v>
      </c>
      <c r="H122">
        <v>0</v>
      </c>
      <c r="I122">
        <v>0</v>
      </c>
      <c r="J122">
        <v>0.5</v>
      </c>
      <c r="K122">
        <v>0</v>
      </c>
      <c r="L122" t="s">
        <v>132</v>
      </c>
      <c r="M122" t="s">
        <v>147</v>
      </c>
      <c r="N122">
        <v>826032</v>
      </c>
    </row>
    <row r="123" spans="1:14">
      <c r="A123" t="s">
        <v>27</v>
      </c>
      <c r="B123" t="s">
        <v>130</v>
      </c>
      <c r="C123" t="s">
        <v>147</v>
      </c>
      <c r="D123">
        <v>3.94999999999999</v>
      </c>
      <c r="E123">
        <v>0</v>
      </c>
      <c r="F123">
        <v>0</v>
      </c>
      <c r="G123">
        <v>0.4</v>
      </c>
      <c r="H123">
        <v>0</v>
      </c>
      <c r="I123">
        <v>0</v>
      </c>
      <c r="J123">
        <v>0.5</v>
      </c>
      <c r="K123">
        <v>0</v>
      </c>
      <c r="L123" t="s">
        <v>132</v>
      </c>
      <c r="M123" t="s">
        <v>147</v>
      </c>
      <c r="N123">
        <v>826034</v>
      </c>
    </row>
    <row r="124" spans="1:14">
      <c r="A124" t="s">
        <v>27</v>
      </c>
      <c r="B124" t="s">
        <v>130</v>
      </c>
      <c r="C124" t="s">
        <v>147</v>
      </c>
      <c r="D124">
        <v>4.0999999999999996</v>
      </c>
      <c r="E124">
        <v>0</v>
      </c>
      <c r="F124">
        <v>0</v>
      </c>
      <c r="G124">
        <v>0.4</v>
      </c>
      <c r="H124">
        <v>0</v>
      </c>
      <c r="I124">
        <v>0</v>
      </c>
      <c r="J124">
        <v>0.5</v>
      </c>
      <c r="K124">
        <v>0</v>
      </c>
      <c r="L124" t="s">
        <v>132</v>
      </c>
      <c r="M124" t="s">
        <v>147</v>
      </c>
      <c r="N124">
        <v>826036</v>
      </c>
    </row>
    <row r="125" spans="1:14">
      <c r="A125" t="s">
        <v>27</v>
      </c>
      <c r="B125" t="s">
        <v>130</v>
      </c>
      <c r="C125" t="s">
        <v>147</v>
      </c>
      <c r="D125">
        <v>3.94999999999999</v>
      </c>
      <c r="E125">
        <v>0</v>
      </c>
      <c r="F125">
        <v>0</v>
      </c>
      <c r="G125">
        <v>0.4</v>
      </c>
      <c r="H125">
        <v>0</v>
      </c>
      <c r="I125">
        <v>0</v>
      </c>
      <c r="J125">
        <v>0.5</v>
      </c>
      <c r="K125">
        <v>0</v>
      </c>
      <c r="L125" t="s">
        <v>132</v>
      </c>
      <c r="M125" t="s">
        <v>147</v>
      </c>
      <c r="N125">
        <v>826038</v>
      </c>
    </row>
    <row r="126" spans="1:14">
      <c r="A126" t="s">
        <v>27</v>
      </c>
      <c r="B126" t="s">
        <v>130</v>
      </c>
      <c r="C126" t="s">
        <v>147</v>
      </c>
      <c r="D126">
        <v>4.0999999999999996</v>
      </c>
      <c r="E126">
        <v>0</v>
      </c>
      <c r="F126">
        <v>0</v>
      </c>
      <c r="G126">
        <v>0.4</v>
      </c>
      <c r="H126">
        <v>0</v>
      </c>
      <c r="I126">
        <v>0</v>
      </c>
      <c r="J126">
        <v>0.5</v>
      </c>
      <c r="K126">
        <v>0</v>
      </c>
      <c r="L126" t="s">
        <v>132</v>
      </c>
      <c r="M126" t="s">
        <v>147</v>
      </c>
      <c r="N126">
        <v>826040</v>
      </c>
    </row>
    <row r="127" spans="1:14">
      <c r="A127" t="s">
        <v>27</v>
      </c>
      <c r="B127" t="s">
        <v>130</v>
      </c>
      <c r="C127" t="s">
        <v>147</v>
      </c>
      <c r="D127">
        <v>4.0999999999999996</v>
      </c>
      <c r="E127">
        <v>0</v>
      </c>
      <c r="F127">
        <v>0</v>
      </c>
      <c r="G127">
        <v>0.4</v>
      </c>
      <c r="H127">
        <v>0</v>
      </c>
      <c r="I127">
        <v>0</v>
      </c>
      <c r="J127">
        <v>0.5</v>
      </c>
      <c r="K127">
        <v>0</v>
      </c>
      <c r="L127" t="s">
        <v>132</v>
      </c>
      <c r="M127" t="s">
        <v>147</v>
      </c>
      <c r="N127">
        <v>826042</v>
      </c>
    </row>
    <row r="128" spans="1:14">
      <c r="A128" t="s">
        <v>27</v>
      </c>
      <c r="B128" t="s">
        <v>130</v>
      </c>
      <c r="C128" t="s">
        <v>147</v>
      </c>
      <c r="D128">
        <v>3.94999999999999</v>
      </c>
      <c r="E128">
        <v>0</v>
      </c>
      <c r="F128">
        <v>0</v>
      </c>
      <c r="G128">
        <v>0.4</v>
      </c>
      <c r="H128">
        <v>0</v>
      </c>
      <c r="I128">
        <v>0</v>
      </c>
      <c r="J128">
        <v>0.5</v>
      </c>
      <c r="K128">
        <v>0</v>
      </c>
      <c r="L128" t="s">
        <v>132</v>
      </c>
      <c r="M128" t="s">
        <v>147</v>
      </c>
      <c r="N128">
        <v>826044</v>
      </c>
    </row>
    <row r="129" spans="1:14">
      <c r="A129" t="s">
        <v>27</v>
      </c>
      <c r="B129" t="s">
        <v>130</v>
      </c>
      <c r="C129" t="s">
        <v>147</v>
      </c>
      <c r="D129">
        <v>3.94999999999999</v>
      </c>
      <c r="E129">
        <v>0</v>
      </c>
      <c r="F129">
        <v>0</v>
      </c>
      <c r="G129">
        <v>0.4</v>
      </c>
      <c r="H129">
        <v>0</v>
      </c>
      <c r="I129">
        <v>0</v>
      </c>
      <c r="J129">
        <v>0.5</v>
      </c>
      <c r="K129">
        <v>0</v>
      </c>
      <c r="L129" t="s">
        <v>132</v>
      </c>
      <c r="M129" t="s">
        <v>147</v>
      </c>
      <c r="N129">
        <v>826046</v>
      </c>
    </row>
    <row r="130" spans="1:14">
      <c r="A130" t="s">
        <v>27</v>
      </c>
      <c r="B130" t="s">
        <v>130</v>
      </c>
      <c r="C130" t="s">
        <v>147</v>
      </c>
      <c r="D130">
        <v>3.94999999999999</v>
      </c>
      <c r="E130">
        <v>0</v>
      </c>
      <c r="F130">
        <v>0</v>
      </c>
      <c r="G130">
        <v>0.4</v>
      </c>
      <c r="H130">
        <v>0</v>
      </c>
      <c r="I130">
        <v>0</v>
      </c>
      <c r="J130">
        <v>0.5</v>
      </c>
      <c r="K130">
        <v>0</v>
      </c>
      <c r="L130" t="s">
        <v>132</v>
      </c>
      <c r="M130" t="s">
        <v>147</v>
      </c>
      <c r="N130">
        <v>826048</v>
      </c>
    </row>
    <row r="131" spans="1:14">
      <c r="A131" t="s">
        <v>27</v>
      </c>
      <c r="B131" t="s">
        <v>130</v>
      </c>
      <c r="C131" t="s">
        <v>147</v>
      </c>
      <c r="D131">
        <v>3.94999999999999</v>
      </c>
      <c r="E131">
        <v>0</v>
      </c>
      <c r="F131">
        <v>0</v>
      </c>
      <c r="G131">
        <v>0.4</v>
      </c>
      <c r="H131">
        <v>0</v>
      </c>
      <c r="I131">
        <v>0</v>
      </c>
      <c r="J131">
        <v>0.5</v>
      </c>
      <c r="K131">
        <v>0</v>
      </c>
      <c r="L131" t="s">
        <v>132</v>
      </c>
      <c r="M131" t="s">
        <v>147</v>
      </c>
      <c r="N131">
        <v>826050</v>
      </c>
    </row>
    <row r="132" spans="1:14">
      <c r="A132" t="s">
        <v>27</v>
      </c>
      <c r="B132" t="s">
        <v>130</v>
      </c>
      <c r="C132" t="s">
        <v>147</v>
      </c>
      <c r="D132">
        <v>3.8499999999999899</v>
      </c>
      <c r="E132">
        <v>0</v>
      </c>
      <c r="F132">
        <v>0</v>
      </c>
      <c r="G132">
        <v>0.4</v>
      </c>
      <c r="H132">
        <v>0</v>
      </c>
      <c r="I132">
        <v>0</v>
      </c>
      <c r="J132">
        <v>0.5</v>
      </c>
      <c r="K132">
        <v>0</v>
      </c>
      <c r="L132" t="s">
        <v>132</v>
      </c>
      <c r="M132" t="s">
        <v>147</v>
      </c>
      <c r="N132">
        <v>826052</v>
      </c>
    </row>
    <row r="133" spans="1:14">
      <c r="A133" t="s">
        <v>27</v>
      </c>
      <c r="B133" t="s">
        <v>130</v>
      </c>
      <c r="C133" t="s">
        <v>147</v>
      </c>
      <c r="D133">
        <v>3.8499999999999899</v>
      </c>
      <c r="E133">
        <v>0</v>
      </c>
      <c r="F133">
        <v>0</v>
      </c>
      <c r="G133">
        <v>0.4</v>
      </c>
      <c r="H133">
        <v>0</v>
      </c>
      <c r="I133">
        <v>0</v>
      </c>
      <c r="J133">
        <v>0.5</v>
      </c>
      <c r="K133">
        <v>0</v>
      </c>
      <c r="L133" t="s">
        <v>132</v>
      </c>
      <c r="M133" t="s">
        <v>147</v>
      </c>
      <c r="N133">
        <v>826054</v>
      </c>
    </row>
    <row r="134" spans="1:14">
      <c r="A134" t="s">
        <v>27</v>
      </c>
      <c r="B134" t="s">
        <v>130</v>
      </c>
      <c r="C134" t="s">
        <v>147</v>
      </c>
      <c r="D134">
        <v>3.8499999999999899</v>
      </c>
      <c r="E134">
        <v>0</v>
      </c>
      <c r="F134">
        <v>0</v>
      </c>
      <c r="G134">
        <v>0.4</v>
      </c>
      <c r="H134">
        <v>0</v>
      </c>
      <c r="I134">
        <v>0</v>
      </c>
      <c r="J134">
        <v>0.5</v>
      </c>
      <c r="K134">
        <v>0</v>
      </c>
      <c r="L134" t="s">
        <v>132</v>
      </c>
      <c r="M134" t="s">
        <v>147</v>
      </c>
      <c r="N134">
        <v>826056</v>
      </c>
    </row>
    <row r="135" spans="1:14">
      <c r="A135" t="s">
        <v>27</v>
      </c>
      <c r="B135" t="s">
        <v>130</v>
      </c>
      <c r="C135" t="s">
        <v>147</v>
      </c>
      <c r="D135">
        <v>3.8499999999999899</v>
      </c>
      <c r="E135">
        <v>0</v>
      </c>
      <c r="F135">
        <v>0</v>
      </c>
      <c r="G135">
        <v>0.4</v>
      </c>
      <c r="H135">
        <v>0</v>
      </c>
      <c r="I135">
        <v>0</v>
      </c>
      <c r="J135">
        <v>0.5</v>
      </c>
      <c r="K135">
        <v>0</v>
      </c>
      <c r="L135" t="s">
        <v>132</v>
      </c>
      <c r="M135" t="s">
        <v>147</v>
      </c>
      <c r="N135">
        <v>826058</v>
      </c>
    </row>
    <row r="136" spans="1:14">
      <c r="A136" t="s">
        <v>27</v>
      </c>
      <c r="B136" t="s">
        <v>130</v>
      </c>
      <c r="C136" t="s">
        <v>147</v>
      </c>
      <c r="D136">
        <v>3.8499999999999899</v>
      </c>
      <c r="E136">
        <v>0</v>
      </c>
      <c r="F136">
        <v>0</v>
      </c>
      <c r="G136">
        <v>0.4</v>
      </c>
      <c r="H136">
        <v>0</v>
      </c>
      <c r="I136">
        <v>0</v>
      </c>
      <c r="J136">
        <v>0.5</v>
      </c>
      <c r="K136">
        <v>0</v>
      </c>
      <c r="L136" t="s">
        <v>132</v>
      </c>
      <c r="M136" t="s">
        <v>147</v>
      </c>
      <c r="N136">
        <v>826060</v>
      </c>
    </row>
    <row r="137" spans="1:14">
      <c r="A137" t="s">
        <v>27</v>
      </c>
      <c r="B137" t="s">
        <v>130</v>
      </c>
      <c r="C137" t="s">
        <v>147</v>
      </c>
      <c r="D137">
        <v>3.8499999999999899</v>
      </c>
      <c r="E137">
        <v>0</v>
      </c>
      <c r="F137">
        <v>0</v>
      </c>
      <c r="G137">
        <v>0.4</v>
      </c>
      <c r="H137">
        <v>0</v>
      </c>
      <c r="I137">
        <v>0</v>
      </c>
      <c r="J137">
        <v>0.5</v>
      </c>
      <c r="K137">
        <v>0</v>
      </c>
      <c r="L137" t="s">
        <v>132</v>
      </c>
      <c r="M137" t="s">
        <v>147</v>
      </c>
      <c r="N137">
        <v>826062</v>
      </c>
    </row>
    <row r="138" spans="1:14">
      <c r="A138" t="s">
        <v>27</v>
      </c>
      <c r="B138" t="s">
        <v>130</v>
      </c>
      <c r="C138" t="s">
        <v>147</v>
      </c>
      <c r="D138">
        <v>3.8499999999999899</v>
      </c>
      <c r="E138">
        <v>0</v>
      </c>
      <c r="F138">
        <v>0</v>
      </c>
      <c r="G138">
        <v>0.4</v>
      </c>
      <c r="H138">
        <v>0</v>
      </c>
      <c r="I138">
        <v>0</v>
      </c>
      <c r="J138">
        <v>0.5</v>
      </c>
      <c r="K138">
        <v>0</v>
      </c>
      <c r="L138" t="s">
        <v>132</v>
      </c>
      <c r="M138" t="s">
        <v>147</v>
      </c>
      <c r="N138">
        <v>826064</v>
      </c>
    </row>
    <row r="139" spans="1:14">
      <c r="A139" t="s">
        <v>27</v>
      </c>
      <c r="B139" t="s">
        <v>130</v>
      </c>
      <c r="C139" t="s">
        <v>147</v>
      </c>
      <c r="D139">
        <v>3.8499999999999899</v>
      </c>
      <c r="E139">
        <v>0</v>
      </c>
      <c r="F139">
        <v>0</v>
      </c>
      <c r="G139">
        <v>0.4</v>
      </c>
      <c r="H139">
        <v>0</v>
      </c>
      <c r="I139">
        <v>0</v>
      </c>
      <c r="J139">
        <v>0.5</v>
      </c>
      <c r="K139">
        <v>0</v>
      </c>
      <c r="L139" t="s">
        <v>132</v>
      </c>
      <c r="M139" t="s">
        <v>147</v>
      </c>
      <c r="N139">
        <v>826066</v>
      </c>
    </row>
    <row r="140" spans="1:14">
      <c r="A140" t="s">
        <v>27</v>
      </c>
      <c r="B140" t="s">
        <v>130</v>
      </c>
      <c r="C140" t="s">
        <v>147</v>
      </c>
      <c r="D140">
        <v>3.8499999999999899</v>
      </c>
      <c r="E140">
        <v>0</v>
      </c>
      <c r="F140">
        <v>0</v>
      </c>
      <c r="G140">
        <v>0.4</v>
      </c>
      <c r="H140">
        <v>0</v>
      </c>
      <c r="I140">
        <v>0</v>
      </c>
      <c r="J140">
        <v>0.5</v>
      </c>
      <c r="K140">
        <v>0</v>
      </c>
      <c r="L140" t="s">
        <v>132</v>
      </c>
      <c r="M140" t="s">
        <v>147</v>
      </c>
      <c r="N140">
        <v>826068</v>
      </c>
    </row>
    <row r="141" spans="1:14">
      <c r="A141" t="s">
        <v>27</v>
      </c>
      <c r="B141" t="s">
        <v>130</v>
      </c>
      <c r="C141" t="s">
        <v>147</v>
      </c>
      <c r="D141">
        <v>3.8499999999999899</v>
      </c>
      <c r="E141">
        <v>0</v>
      </c>
      <c r="F141">
        <v>0</v>
      </c>
      <c r="G141">
        <v>0.4</v>
      </c>
      <c r="H141">
        <v>0</v>
      </c>
      <c r="I141">
        <v>0</v>
      </c>
      <c r="J141">
        <v>0.5</v>
      </c>
      <c r="K141">
        <v>0</v>
      </c>
      <c r="L141" t="s">
        <v>132</v>
      </c>
      <c r="M141" t="s">
        <v>147</v>
      </c>
      <c r="N141">
        <v>826070</v>
      </c>
    </row>
    <row r="142" spans="1:14">
      <c r="A142" t="s">
        <v>27</v>
      </c>
      <c r="B142" t="s">
        <v>130</v>
      </c>
      <c r="C142" t="s">
        <v>147</v>
      </c>
      <c r="D142">
        <v>3.8499999999999899</v>
      </c>
      <c r="E142">
        <v>0</v>
      </c>
      <c r="F142">
        <v>0</v>
      </c>
      <c r="G142">
        <v>0.4</v>
      </c>
      <c r="H142">
        <v>0</v>
      </c>
      <c r="I142">
        <v>0</v>
      </c>
      <c r="J142">
        <v>0.5</v>
      </c>
      <c r="K142">
        <v>0</v>
      </c>
      <c r="L142" t="s">
        <v>132</v>
      </c>
      <c r="M142" t="s">
        <v>147</v>
      </c>
      <c r="N142">
        <v>826072</v>
      </c>
    </row>
    <row r="143" spans="1:14">
      <c r="A143" t="s">
        <v>27</v>
      </c>
      <c r="B143" t="s">
        <v>130</v>
      </c>
      <c r="C143" t="s">
        <v>147</v>
      </c>
      <c r="D143">
        <v>3.8499999999999899</v>
      </c>
      <c r="E143">
        <v>0</v>
      </c>
      <c r="F143">
        <v>0</v>
      </c>
      <c r="G143">
        <v>0.4</v>
      </c>
      <c r="H143">
        <v>0</v>
      </c>
      <c r="I143">
        <v>0</v>
      </c>
      <c r="J143">
        <v>0.5</v>
      </c>
      <c r="K143">
        <v>0</v>
      </c>
      <c r="L143" t="s">
        <v>132</v>
      </c>
      <c r="M143" t="s">
        <v>147</v>
      </c>
      <c r="N143">
        <v>826074</v>
      </c>
    </row>
    <row r="144" spans="1:14">
      <c r="A144" t="s">
        <v>27</v>
      </c>
      <c r="B144" t="s">
        <v>130</v>
      </c>
      <c r="C144" t="s">
        <v>147</v>
      </c>
      <c r="D144">
        <v>3.8499999999999899</v>
      </c>
      <c r="E144">
        <v>0</v>
      </c>
      <c r="F144">
        <v>0</v>
      </c>
      <c r="G144">
        <v>0.4</v>
      </c>
      <c r="H144">
        <v>0</v>
      </c>
      <c r="I144">
        <v>0</v>
      </c>
      <c r="J144">
        <v>0.5</v>
      </c>
      <c r="K144">
        <v>0</v>
      </c>
      <c r="L144" t="s">
        <v>132</v>
      </c>
      <c r="M144" t="s">
        <v>147</v>
      </c>
      <c r="N144">
        <v>826076</v>
      </c>
    </row>
    <row r="145" spans="1:14">
      <c r="A145" t="s">
        <v>27</v>
      </c>
      <c r="B145" t="s">
        <v>130</v>
      </c>
      <c r="C145" t="s">
        <v>147</v>
      </c>
      <c r="D145">
        <v>3.8499999999999899</v>
      </c>
      <c r="E145">
        <v>0</v>
      </c>
      <c r="F145">
        <v>0</v>
      </c>
      <c r="G145">
        <v>0.4</v>
      </c>
      <c r="H145">
        <v>0</v>
      </c>
      <c r="I145">
        <v>0</v>
      </c>
      <c r="J145">
        <v>0.5</v>
      </c>
      <c r="K145">
        <v>0</v>
      </c>
      <c r="L145" t="s">
        <v>132</v>
      </c>
      <c r="M145" t="s">
        <v>147</v>
      </c>
      <c r="N145">
        <v>826078</v>
      </c>
    </row>
    <row r="146" spans="1:14">
      <c r="A146" t="s">
        <v>27</v>
      </c>
      <c r="B146" t="s">
        <v>130</v>
      </c>
      <c r="C146" t="s">
        <v>147</v>
      </c>
      <c r="D146">
        <v>3.8499999999999899</v>
      </c>
      <c r="E146">
        <v>0</v>
      </c>
      <c r="F146">
        <v>0</v>
      </c>
      <c r="G146">
        <v>0.4</v>
      </c>
      <c r="H146">
        <v>0</v>
      </c>
      <c r="I146">
        <v>0</v>
      </c>
      <c r="J146">
        <v>0.5</v>
      </c>
      <c r="K146">
        <v>0</v>
      </c>
      <c r="L146" t="s">
        <v>132</v>
      </c>
      <c r="M146" t="s">
        <v>147</v>
      </c>
      <c r="N146">
        <v>826080</v>
      </c>
    </row>
    <row r="147" spans="1:14">
      <c r="A147" t="s">
        <v>27</v>
      </c>
      <c r="B147" t="s">
        <v>130</v>
      </c>
      <c r="C147" t="s">
        <v>147</v>
      </c>
      <c r="D147">
        <v>3.8499999999999899</v>
      </c>
      <c r="E147">
        <v>0</v>
      </c>
      <c r="F147">
        <v>0</v>
      </c>
      <c r="G147">
        <v>0.4</v>
      </c>
      <c r="H147">
        <v>0</v>
      </c>
      <c r="I147">
        <v>0</v>
      </c>
      <c r="J147">
        <v>0.5</v>
      </c>
      <c r="K147">
        <v>0</v>
      </c>
      <c r="L147" t="s">
        <v>132</v>
      </c>
      <c r="M147" t="s">
        <v>147</v>
      </c>
      <c r="N147">
        <v>826082</v>
      </c>
    </row>
    <row r="148" spans="1:14">
      <c r="A148" t="s">
        <v>27</v>
      </c>
      <c r="B148" t="s">
        <v>130</v>
      </c>
      <c r="C148" t="s">
        <v>147</v>
      </c>
      <c r="D148">
        <v>3.8499999999999899</v>
      </c>
      <c r="E148">
        <v>0</v>
      </c>
      <c r="F148">
        <v>0</v>
      </c>
      <c r="G148">
        <v>0.4</v>
      </c>
      <c r="H148">
        <v>0</v>
      </c>
      <c r="I148">
        <v>0</v>
      </c>
      <c r="J148">
        <v>0.5</v>
      </c>
      <c r="K148">
        <v>0</v>
      </c>
      <c r="L148" t="s">
        <v>132</v>
      </c>
      <c r="M148" t="s">
        <v>147</v>
      </c>
      <c r="N148">
        <v>826084</v>
      </c>
    </row>
    <row r="149" spans="1:14">
      <c r="A149" t="s">
        <v>27</v>
      </c>
      <c r="B149" t="s">
        <v>130</v>
      </c>
      <c r="C149" t="s">
        <v>147</v>
      </c>
      <c r="D149">
        <v>3.8499999999999899</v>
      </c>
      <c r="E149">
        <v>0</v>
      </c>
      <c r="F149">
        <v>0</v>
      </c>
      <c r="G149">
        <v>0.4</v>
      </c>
      <c r="H149">
        <v>0</v>
      </c>
      <c r="I149">
        <v>0</v>
      </c>
      <c r="J149">
        <v>0.5</v>
      </c>
      <c r="K149">
        <v>0</v>
      </c>
      <c r="L149" t="s">
        <v>132</v>
      </c>
      <c r="M149" t="s">
        <v>147</v>
      </c>
      <c r="N149">
        <v>826086</v>
      </c>
    </row>
    <row r="150" spans="1:14">
      <c r="A150" t="s">
        <v>27</v>
      </c>
      <c r="B150" t="s">
        <v>130</v>
      </c>
      <c r="C150" t="s">
        <v>147</v>
      </c>
      <c r="D150">
        <v>3.8499999999999899</v>
      </c>
      <c r="E150">
        <v>0</v>
      </c>
      <c r="F150">
        <v>0</v>
      </c>
      <c r="G150">
        <v>0.4</v>
      </c>
      <c r="H150">
        <v>0</v>
      </c>
      <c r="I150">
        <v>0</v>
      </c>
      <c r="J150">
        <v>0.5</v>
      </c>
      <c r="K150">
        <v>0</v>
      </c>
      <c r="L150" t="s">
        <v>132</v>
      </c>
      <c r="M150" t="s">
        <v>147</v>
      </c>
      <c r="N150">
        <v>826088</v>
      </c>
    </row>
    <row r="151" spans="1:14">
      <c r="A151" t="s">
        <v>27</v>
      </c>
      <c r="B151" t="s">
        <v>130</v>
      </c>
      <c r="C151" t="s">
        <v>147</v>
      </c>
      <c r="D151">
        <v>3.8499999999999899</v>
      </c>
      <c r="E151">
        <v>0</v>
      </c>
      <c r="F151">
        <v>0</v>
      </c>
      <c r="G151">
        <v>0.4</v>
      </c>
      <c r="H151">
        <v>0</v>
      </c>
      <c r="I151">
        <v>0</v>
      </c>
      <c r="J151">
        <v>0.5</v>
      </c>
      <c r="K151">
        <v>0</v>
      </c>
      <c r="L151" t="s">
        <v>132</v>
      </c>
      <c r="M151" t="s">
        <v>147</v>
      </c>
      <c r="N151">
        <v>826090</v>
      </c>
    </row>
    <row r="152" spans="1:14">
      <c r="A152" t="s">
        <v>27</v>
      </c>
      <c r="B152" t="s">
        <v>130</v>
      </c>
      <c r="C152" t="s">
        <v>147</v>
      </c>
      <c r="D152">
        <v>3.8499999999999899</v>
      </c>
      <c r="E152">
        <v>0</v>
      </c>
      <c r="F152">
        <v>0</v>
      </c>
      <c r="G152">
        <v>0.4</v>
      </c>
      <c r="H152">
        <v>0</v>
      </c>
      <c r="I152">
        <v>0</v>
      </c>
      <c r="J152">
        <v>0.5</v>
      </c>
      <c r="K152">
        <v>0</v>
      </c>
      <c r="L152" t="s">
        <v>132</v>
      </c>
      <c r="M152" t="s">
        <v>147</v>
      </c>
      <c r="N152">
        <v>826092</v>
      </c>
    </row>
    <row r="153" spans="1:14">
      <c r="A153" t="s">
        <v>27</v>
      </c>
      <c r="B153" t="s">
        <v>130</v>
      </c>
      <c r="C153" t="s">
        <v>147</v>
      </c>
      <c r="D153">
        <v>3.8499999999999899</v>
      </c>
      <c r="E153">
        <v>0</v>
      </c>
      <c r="F153">
        <v>0</v>
      </c>
      <c r="G153">
        <v>0.4</v>
      </c>
      <c r="H153">
        <v>0</v>
      </c>
      <c r="I153">
        <v>0</v>
      </c>
      <c r="J153">
        <v>0.5</v>
      </c>
      <c r="K153">
        <v>0</v>
      </c>
      <c r="L153" t="s">
        <v>132</v>
      </c>
      <c r="M153" t="s">
        <v>147</v>
      </c>
      <c r="N153">
        <v>826094</v>
      </c>
    </row>
    <row r="154" spans="1:14">
      <c r="A154" t="s">
        <v>27</v>
      </c>
      <c r="B154" t="s">
        <v>130</v>
      </c>
      <c r="C154" t="s">
        <v>147</v>
      </c>
      <c r="D154">
        <v>3.94999999999999</v>
      </c>
      <c r="E154">
        <v>0</v>
      </c>
      <c r="F154">
        <v>0</v>
      </c>
      <c r="G154">
        <v>0.4</v>
      </c>
      <c r="H154">
        <v>0</v>
      </c>
      <c r="I154">
        <v>0</v>
      </c>
      <c r="J154">
        <v>0.5</v>
      </c>
      <c r="K154">
        <v>0</v>
      </c>
      <c r="L154" t="s">
        <v>132</v>
      </c>
      <c r="M154" t="s">
        <v>147</v>
      </c>
      <c r="N154">
        <v>826267</v>
      </c>
    </row>
    <row r="155" spans="1:14">
      <c r="A155" t="s">
        <v>27</v>
      </c>
      <c r="B155" t="s">
        <v>130</v>
      </c>
      <c r="C155" t="s">
        <v>147</v>
      </c>
      <c r="D155">
        <v>4.0999999999999996</v>
      </c>
      <c r="E155">
        <v>0</v>
      </c>
      <c r="F155">
        <v>0</v>
      </c>
      <c r="G155">
        <v>0.4</v>
      </c>
      <c r="H155">
        <v>0</v>
      </c>
      <c r="I155">
        <v>0</v>
      </c>
      <c r="J155">
        <v>0.5</v>
      </c>
      <c r="K155">
        <v>0</v>
      </c>
      <c r="L155" t="s">
        <v>132</v>
      </c>
      <c r="M155" t="s">
        <v>147</v>
      </c>
      <c r="N155">
        <v>826269</v>
      </c>
    </row>
    <row r="156" spans="1:14">
      <c r="A156" t="s">
        <v>27</v>
      </c>
      <c r="B156" t="s">
        <v>130</v>
      </c>
      <c r="C156" t="s">
        <v>147</v>
      </c>
      <c r="D156">
        <v>3.94999999999999</v>
      </c>
      <c r="E156">
        <v>0</v>
      </c>
      <c r="F156">
        <v>0</v>
      </c>
      <c r="G156">
        <v>0.4</v>
      </c>
      <c r="H156">
        <v>0</v>
      </c>
      <c r="I156">
        <v>0</v>
      </c>
      <c r="J156">
        <v>0.5</v>
      </c>
      <c r="K156">
        <v>0</v>
      </c>
      <c r="L156" t="s">
        <v>132</v>
      </c>
      <c r="M156" t="s">
        <v>147</v>
      </c>
      <c r="N156">
        <v>826271</v>
      </c>
    </row>
    <row r="157" spans="1:14">
      <c r="A157" t="s">
        <v>27</v>
      </c>
      <c r="B157" t="s">
        <v>130</v>
      </c>
      <c r="C157" t="s">
        <v>147</v>
      </c>
      <c r="D157">
        <v>4.0999999999999996</v>
      </c>
      <c r="E157">
        <v>0</v>
      </c>
      <c r="F157">
        <v>0</v>
      </c>
      <c r="G157">
        <v>0.4</v>
      </c>
      <c r="H157">
        <v>0</v>
      </c>
      <c r="I157">
        <v>0</v>
      </c>
      <c r="J157">
        <v>0.5</v>
      </c>
      <c r="K157">
        <v>0</v>
      </c>
      <c r="L157" t="s">
        <v>132</v>
      </c>
      <c r="M157" t="s">
        <v>147</v>
      </c>
      <c r="N157">
        <v>826273</v>
      </c>
    </row>
    <row r="158" spans="1:14">
      <c r="A158" t="s">
        <v>27</v>
      </c>
      <c r="B158" t="s">
        <v>130</v>
      </c>
      <c r="C158" t="s">
        <v>147</v>
      </c>
      <c r="D158">
        <v>3.94999999999999</v>
      </c>
      <c r="E158">
        <v>0</v>
      </c>
      <c r="F158">
        <v>0</v>
      </c>
      <c r="G158">
        <v>0.4</v>
      </c>
      <c r="H158">
        <v>0</v>
      </c>
      <c r="I158">
        <v>0</v>
      </c>
      <c r="J158">
        <v>0.5</v>
      </c>
      <c r="K158">
        <v>0</v>
      </c>
      <c r="L158" t="s">
        <v>132</v>
      </c>
      <c r="M158" t="s">
        <v>147</v>
      </c>
      <c r="N158">
        <v>826275</v>
      </c>
    </row>
    <row r="159" spans="1:14">
      <c r="A159" t="s">
        <v>27</v>
      </c>
      <c r="B159" t="s">
        <v>130</v>
      </c>
      <c r="C159" t="s">
        <v>147</v>
      </c>
      <c r="D159">
        <v>4.0999999999999996</v>
      </c>
      <c r="E159">
        <v>0</v>
      </c>
      <c r="F159">
        <v>0</v>
      </c>
      <c r="G159">
        <v>0.4</v>
      </c>
      <c r="H159">
        <v>0</v>
      </c>
      <c r="I159">
        <v>0</v>
      </c>
      <c r="J159">
        <v>0.5</v>
      </c>
      <c r="K159">
        <v>0</v>
      </c>
      <c r="L159" t="s">
        <v>132</v>
      </c>
      <c r="M159" t="s">
        <v>147</v>
      </c>
      <c r="N159">
        <v>826277</v>
      </c>
    </row>
    <row r="160" spans="1:14">
      <c r="A160" t="s">
        <v>27</v>
      </c>
      <c r="B160" t="s">
        <v>130</v>
      </c>
      <c r="C160" t="s">
        <v>147</v>
      </c>
      <c r="D160">
        <v>3.94999999999999</v>
      </c>
      <c r="E160">
        <v>0</v>
      </c>
      <c r="F160">
        <v>0</v>
      </c>
      <c r="G160">
        <v>0.4</v>
      </c>
      <c r="H160">
        <v>0</v>
      </c>
      <c r="I160">
        <v>0</v>
      </c>
      <c r="J160">
        <v>0.5</v>
      </c>
      <c r="K160">
        <v>0</v>
      </c>
      <c r="L160" t="s">
        <v>132</v>
      </c>
      <c r="M160" t="s">
        <v>147</v>
      </c>
      <c r="N160">
        <v>826279</v>
      </c>
    </row>
    <row r="161" spans="1:14">
      <c r="A161" t="s">
        <v>27</v>
      </c>
      <c r="B161" t="s">
        <v>130</v>
      </c>
      <c r="C161" t="s">
        <v>147</v>
      </c>
      <c r="D161">
        <v>4.0999999999999996</v>
      </c>
      <c r="E161">
        <v>0</v>
      </c>
      <c r="F161">
        <v>0</v>
      </c>
      <c r="G161">
        <v>0.4</v>
      </c>
      <c r="H161">
        <v>0</v>
      </c>
      <c r="I161">
        <v>0</v>
      </c>
      <c r="J161">
        <v>0.5</v>
      </c>
      <c r="K161">
        <v>0</v>
      </c>
      <c r="L161" t="s">
        <v>132</v>
      </c>
      <c r="M161" t="s">
        <v>147</v>
      </c>
      <c r="N161">
        <v>826281</v>
      </c>
    </row>
    <row r="162" spans="1:14">
      <c r="A162" t="s">
        <v>27</v>
      </c>
      <c r="B162" t="s">
        <v>130</v>
      </c>
      <c r="C162" t="s">
        <v>147</v>
      </c>
      <c r="D162">
        <v>4.0999999999999996</v>
      </c>
      <c r="E162">
        <v>0</v>
      </c>
      <c r="F162">
        <v>0</v>
      </c>
      <c r="G162">
        <v>0.4</v>
      </c>
      <c r="H162">
        <v>0</v>
      </c>
      <c r="I162">
        <v>0</v>
      </c>
      <c r="J162">
        <v>0.5</v>
      </c>
      <c r="K162">
        <v>0</v>
      </c>
      <c r="L162" t="s">
        <v>132</v>
      </c>
      <c r="M162" t="s">
        <v>147</v>
      </c>
      <c r="N162">
        <v>826283</v>
      </c>
    </row>
    <row r="163" spans="1:14">
      <c r="A163" t="s">
        <v>27</v>
      </c>
      <c r="B163" t="s">
        <v>130</v>
      </c>
      <c r="C163" t="s">
        <v>147</v>
      </c>
      <c r="D163">
        <v>3.94999999999999</v>
      </c>
      <c r="E163">
        <v>0</v>
      </c>
      <c r="F163">
        <v>0</v>
      </c>
      <c r="G163">
        <v>0.4</v>
      </c>
      <c r="H163">
        <v>0</v>
      </c>
      <c r="I163">
        <v>0</v>
      </c>
      <c r="J163">
        <v>0.5</v>
      </c>
      <c r="K163">
        <v>0</v>
      </c>
      <c r="L163" t="s">
        <v>132</v>
      </c>
      <c r="M163" t="s">
        <v>147</v>
      </c>
      <c r="N163">
        <v>826285</v>
      </c>
    </row>
    <row r="164" spans="1:14">
      <c r="A164" t="s">
        <v>27</v>
      </c>
      <c r="B164" t="s">
        <v>130</v>
      </c>
      <c r="C164" t="s">
        <v>147</v>
      </c>
      <c r="D164">
        <v>4.0999999999999996</v>
      </c>
      <c r="E164">
        <v>0</v>
      </c>
      <c r="F164">
        <v>0</v>
      </c>
      <c r="G164">
        <v>0.4</v>
      </c>
      <c r="H164">
        <v>0</v>
      </c>
      <c r="I164">
        <v>0</v>
      </c>
      <c r="J164">
        <v>0.5</v>
      </c>
      <c r="K164">
        <v>0</v>
      </c>
      <c r="L164" t="s">
        <v>132</v>
      </c>
      <c r="M164" t="s">
        <v>147</v>
      </c>
      <c r="N164">
        <v>826287</v>
      </c>
    </row>
    <row r="165" spans="1:14">
      <c r="A165" t="s">
        <v>27</v>
      </c>
      <c r="B165" t="s">
        <v>130</v>
      </c>
      <c r="C165" t="s">
        <v>147</v>
      </c>
      <c r="D165">
        <v>3.94999999999999</v>
      </c>
      <c r="E165">
        <v>0</v>
      </c>
      <c r="F165">
        <v>0</v>
      </c>
      <c r="G165">
        <v>0.4</v>
      </c>
      <c r="H165">
        <v>0</v>
      </c>
      <c r="I165">
        <v>0</v>
      </c>
      <c r="J165">
        <v>0.5</v>
      </c>
      <c r="K165">
        <v>0</v>
      </c>
      <c r="L165" t="s">
        <v>132</v>
      </c>
      <c r="M165" t="s">
        <v>147</v>
      </c>
      <c r="N165">
        <v>826289</v>
      </c>
    </row>
    <row r="166" spans="1:14">
      <c r="A166" t="s">
        <v>27</v>
      </c>
      <c r="B166" t="s">
        <v>130</v>
      </c>
      <c r="C166" t="s">
        <v>147</v>
      </c>
      <c r="D166">
        <v>4.0999999999999996</v>
      </c>
      <c r="E166">
        <v>0</v>
      </c>
      <c r="F166">
        <v>0</v>
      </c>
      <c r="G166">
        <v>0.4</v>
      </c>
      <c r="H166">
        <v>0</v>
      </c>
      <c r="I166">
        <v>0</v>
      </c>
      <c r="J166">
        <v>0.5</v>
      </c>
      <c r="K166">
        <v>0</v>
      </c>
      <c r="L166" t="s">
        <v>132</v>
      </c>
      <c r="M166" t="s">
        <v>147</v>
      </c>
      <c r="N166">
        <v>826291</v>
      </c>
    </row>
    <row r="167" spans="1:14">
      <c r="A167" t="s">
        <v>27</v>
      </c>
      <c r="B167" t="s">
        <v>130</v>
      </c>
      <c r="C167" t="s">
        <v>147</v>
      </c>
      <c r="D167">
        <v>3.94999999999999</v>
      </c>
      <c r="E167">
        <v>0</v>
      </c>
      <c r="F167">
        <v>0</v>
      </c>
      <c r="G167">
        <v>0.4</v>
      </c>
      <c r="H167">
        <v>0</v>
      </c>
      <c r="I167">
        <v>0</v>
      </c>
      <c r="J167">
        <v>0.5</v>
      </c>
      <c r="K167">
        <v>0</v>
      </c>
      <c r="L167" t="s">
        <v>132</v>
      </c>
      <c r="M167" t="s">
        <v>147</v>
      </c>
      <c r="N167">
        <v>826293</v>
      </c>
    </row>
    <row r="168" spans="1:14">
      <c r="A168" t="s">
        <v>27</v>
      </c>
      <c r="B168" t="s">
        <v>130</v>
      </c>
      <c r="C168" t="s">
        <v>147</v>
      </c>
      <c r="D168">
        <v>4.0999999999999996</v>
      </c>
      <c r="E168">
        <v>0</v>
      </c>
      <c r="F168">
        <v>0</v>
      </c>
      <c r="G168">
        <v>0.4</v>
      </c>
      <c r="H168">
        <v>0</v>
      </c>
      <c r="I168">
        <v>0</v>
      </c>
      <c r="J168">
        <v>0.5</v>
      </c>
      <c r="K168">
        <v>0</v>
      </c>
      <c r="L168" t="s">
        <v>132</v>
      </c>
      <c r="M168" t="s">
        <v>147</v>
      </c>
      <c r="N168">
        <v>826295</v>
      </c>
    </row>
    <row r="169" spans="1:14">
      <c r="A169" t="s">
        <v>27</v>
      </c>
      <c r="B169" t="s">
        <v>130</v>
      </c>
      <c r="C169" t="s">
        <v>147</v>
      </c>
      <c r="D169">
        <v>3.94999999999999</v>
      </c>
      <c r="E169">
        <v>0</v>
      </c>
      <c r="F169">
        <v>0</v>
      </c>
      <c r="G169">
        <v>0.4</v>
      </c>
      <c r="H169">
        <v>0</v>
      </c>
      <c r="I169">
        <v>0</v>
      </c>
      <c r="J169">
        <v>0.5</v>
      </c>
      <c r="K169">
        <v>0</v>
      </c>
      <c r="L169" t="s">
        <v>132</v>
      </c>
      <c r="M169" t="s">
        <v>147</v>
      </c>
      <c r="N169">
        <v>826297</v>
      </c>
    </row>
    <row r="170" spans="1:14">
      <c r="A170" t="s">
        <v>27</v>
      </c>
      <c r="B170" t="s">
        <v>130</v>
      </c>
      <c r="C170" t="s">
        <v>147</v>
      </c>
      <c r="D170">
        <v>4.0999999999999996</v>
      </c>
      <c r="E170">
        <v>0</v>
      </c>
      <c r="F170">
        <v>0</v>
      </c>
      <c r="G170">
        <v>0.4</v>
      </c>
      <c r="H170">
        <v>0</v>
      </c>
      <c r="I170">
        <v>0</v>
      </c>
      <c r="J170">
        <v>0.5</v>
      </c>
      <c r="K170">
        <v>0</v>
      </c>
      <c r="L170" t="s">
        <v>132</v>
      </c>
      <c r="M170" t="s">
        <v>147</v>
      </c>
      <c r="N170">
        <v>826299</v>
      </c>
    </row>
    <row r="171" spans="1:14">
      <c r="A171" t="s">
        <v>27</v>
      </c>
      <c r="B171" t="s">
        <v>130</v>
      </c>
      <c r="C171" t="s">
        <v>147</v>
      </c>
      <c r="D171">
        <v>4.0999999999999996</v>
      </c>
      <c r="E171">
        <v>0</v>
      </c>
      <c r="F171">
        <v>0</v>
      </c>
      <c r="G171">
        <v>0.4</v>
      </c>
      <c r="H171">
        <v>0</v>
      </c>
      <c r="I171">
        <v>0</v>
      </c>
      <c r="J171">
        <v>0.5</v>
      </c>
      <c r="K171">
        <v>0</v>
      </c>
      <c r="L171" t="s">
        <v>132</v>
      </c>
      <c r="M171" t="s">
        <v>147</v>
      </c>
      <c r="N171">
        <v>826301</v>
      </c>
    </row>
    <row r="172" spans="1:14">
      <c r="A172" t="s">
        <v>27</v>
      </c>
      <c r="B172" t="s">
        <v>130</v>
      </c>
      <c r="C172" t="s">
        <v>147</v>
      </c>
      <c r="D172">
        <v>3.94999999999999</v>
      </c>
      <c r="E172">
        <v>0</v>
      </c>
      <c r="F172">
        <v>0</v>
      </c>
      <c r="G172">
        <v>0.4</v>
      </c>
      <c r="H172">
        <v>0</v>
      </c>
      <c r="I172">
        <v>0</v>
      </c>
      <c r="J172">
        <v>0.5</v>
      </c>
      <c r="K172">
        <v>0</v>
      </c>
      <c r="L172" t="s">
        <v>132</v>
      </c>
      <c r="M172" t="s">
        <v>147</v>
      </c>
      <c r="N172">
        <v>826303</v>
      </c>
    </row>
    <row r="173" spans="1:14">
      <c r="A173" t="s">
        <v>27</v>
      </c>
      <c r="B173" t="s">
        <v>130</v>
      </c>
      <c r="C173" t="s">
        <v>147</v>
      </c>
      <c r="D173">
        <v>4.0999999999999996</v>
      </c>
      <c r="E173">
        <v>0</v>
      </c>
      <c r="F173">
        <v>0</v>
      </c>
      <c r="G173">
        <v>0.4</v>
      </c>
      <c r="H173">
        <v>0</v>
      </c>
      <c r="I173">
        <v>0</v>
      </c>
      <c r="J173">
        <v>0.5</v>
      </c>
      <c r="K173">
        <v>0</v>
      </c>
      <c r="L173" t="s">
        <v>132</v>
      </c>
      <c r="M173" t="s">
        <v>147</v>
      </c>
      <c r="N173">
        <v>826305</v>
      </c>
    </row>
    <row r="174" spans="1:14">
      <c r="A174" t="s">
        <v>27</v>
      </c>
      <c r="B174" t="s">
        <v>130</v>
      </c>
      <c r="C174" t="s">
        <v>147</v>
      </c>
      <c r="D174">
        <v>3.94999999999999</v>
      </c>
      <c r="E174">
        <v>0</v>
      </c>
      <c r="F174">
        <v>0</v>
      </c>
      <c r="G174">
        <v>0.4</v>
      </c>
      <c r="H174">
        <v>0</v>
      </c>
      <c r="I174">
        <v>0</v>
      </c>
      <c r="J174">
        <v>0.5</v>
      </c>
      <c r="K174">
        <v>0</v>
      </c>
      <c r="L174" t="s">
        <v>132</v>
      </c>
      <c r="M174" t="s">
        <v>147</v>
      </c>
      <c r="N174">
        <v>826307</v>
      </c>
    </row>
    <row r="175" spans="1:14">
      <c r="A175" t="s">
        <v>27</v>
      </c>
      <c r="B175" t="s">
        <v>130</v>
      </c>
      <c r="C175" t="s">
        <v>147</v>
      </c>
      <c r="D175">
        <v>4.0999999999999996</v>
      </c>
      <c r="E175">
        <v>0</v>
      </c>
      <c r="F175">
        <v>0</v>
      </c>
      <c r="G175">
        <v>0.4</v>
      </c>
      <c r="H175">
        <v>0</v>
      </c>
      <c r="I175">
        <v>0</v>
      </c>
      <c r="J175">
        <v>0.5</v>
      </c>
      <c r="K175">
        <v>0</v>
      </c>
      <c r="L175" t="s">
        <v>132</v>
      </c>
      <c r="M175" t="s">
        <v>147</v>
      </c>
      <c r="N175">
        <v>826309</v>
      </c>
    </row>
    <row r="176" spans="1:14">
      <c r="A176" t="s">
        <v>27</v>
      </c>
      <c r="B176" t="s">
        <v>130</v>
      </c>
      <c r="C176" t="s">
        <v>147</v>
      </c>
      <c r="D176">
        <v>3.94999999999999</v>
      </c>
      <c r="E176">
        <v>0</v>
      </c>
      <c r="F176">
        <v>0</v>
      </c>
      <c r="G176">
        <v>0.4</v>
      </c>
      <c r="H176">
        <v>0</v>
      </c>
      <c r="I176">
        <v>0</v>
      </c>
      <c r="J176">
        <v>0.5</v>
      </c>
      <c r="K176">
        <v>0</v>
      </c>
      <c r="L176" t="s">
        <v>132</v>
      </c>
      <c r="M176" t="s">
        <v>147</v>
      </c>
      <c r="N176">
        <v>826311</v>
      </c>
    </row>
    <row r="177" spans="1:14">
      <c r="A177" t="s">
        <v>27</v>
      </c>
      <c r="B177" t="s">
        <v>130</v>
      </c>
      <c r="C177" t="s">
        <v>147</v>
      </c>
      <c r="D177">
        <v>4.0999999999999996</v>
      </c>
      <c r="E177">
        <v>0</v>
      </c>
      <c r="F177">
        <v>0</v>
      </c>
      <c r="G177">
        <v>0.4</v>
      </c>
      <c r="H177">
        <v>0</v>
      </c>
      <c r="I177">
        <v>0</v>
      </c>
      <c r="J177">
        <v>0.5</v>
      </c>
      <c r="K177">
        <v>0</v>
      </c>
      <c r="L177" t="s">
        <v>132</v>
      </c>
      <c r="M177" t="s">
        <v>147</v>
      </c>
      <c r="N177">
        <v>826313</v>
      </c>
    </row>
    <row r="178" spans="1:14">
      <c r="A178" t="s">
        <v>27</v>
      </c>
      <c r="B178" t="s">
        <v>130</v>
      </c>
      <c r="C178" t="s">
        <v>147</v>
      </c>
      <c r="D178">
        <v>3.94999999999999</v>
      </c>
      <c r="E178">
        <v>0</v>
      </c>
      <c r="F178">
        <v>0</v>
      </c>
      <c r="G178">
        <v>0.4</v>
      </c>
      <c r="H178">
        <v>0</v>
      </c>
      <c r="I178">
        <v>0</v>
      </c>
      <c r="J178">
        <v>0.5</v>
      </c>
      <c r="K178">
        <v>0</v>
      </c>
      <c r="L178" t="s">
        <v>132</v>
      </c>
      <c r="M178" t="s">
        <v>147</v>
      </c>
      <c r="N178">
        <v>826315</v>
      </c>
    </row>
    <row r="179" spans="1:14">
      <c r="A179" t="s">
        <v>27</v>
      </c>
      <c r="B179" t="s">
        <v>130</v>
      </c>
      <c r="C179" t="s">
        <v>147</v>
      </c>
      <c r="D179">
        <v>4.0999999999999996</v>
      </c>
      <c r="E179">
        <v>0</v>
      </c>
      <c r="F179">
        <v>0</v>
      </c>
      <c r="G179">
        <v>0.4</v>
      </c>
      <c r="H179">
        <v>0</v>
      </c>
      <c r="I179">
        <v>0</v>
      </c>
      <c r="J179">
        <v>0.5</v>
      </c>
      <c r="K179">
        <v>0</v>
      </c>
      <c r="L179" t="s">
        <v>132</v>
      </c>
      <c r="M179" t="s">
        <v>147</v>
      </c>
      <c r="N179">
        <v>826317</v>
      </c>
    </row>
    <row r="180" spans="1:14">
      <c r="A180" t="s">
        <v>27</v>
      </c>
      <c r="B180" t="s">
        <v>130</v>
      </c>
      <c r="C180" t="s">
        <v>147</v>
      </c>
      <c r="D180">
        <v>4.0999999999999996</v>
      </c>
      <c r="E180">
        <v>0</v>
      </c>
      <c r="F180">
        <v>0</v>
      </c>
      <c r="G180">
        <v>0.4</v>
      </c>
      <c r="H180">
        <v>0</v>
      </c>
      <c r="I180">
        <v>0</v>
      </c>
      <c r="J180">
        <v>0.5</v>
      </c>
      <c r="K180">
        <v>0</v>
      </c>
      <c r="L180" t="s">
        <v>132</v>
      </c>
      <c r="M180" t="s">
        <v>147</v>
      </c>
      <c r="N180">
        <v>826319</v>
      </c>
    </row>
    <row r="181" spans="1:14">
      <c r="A181" t="s">
        <v>27</v>
      </c>
      <c r="B181" t="s">
        <v>130</v>
      </c>
      <c r="C181" t="s">
        <v>147</v>
      </c>
      <c r="D181">
        <v>3.94999999999999</v>
      </c>
      <c r="E181">
        <v>0</v>
      </c>
      <c r="F181">
        <v>0</v>
      </c>
      <c r="G181">
        <v>0.4</v>
      </c>
      <c r="H181">
        <v>0</v>
      </c>
      <c r="I181">
        <v>0</v>
      </c>
      <c r="J181">
        <v>0.5</v>
      </c>
      <c r="K181">
        <v>0</v>
      </c>
      <c r="L181" t="s">
        <v>132</v>
      </c>
      <c r="M181" t="s">
        <v>147</v>
      </c>
      <c r="N181">
        <v>826321</v>
      </c>
    </row>
    <row r="182" spans="1:14">
      <c r="A182" t="s">
        <v>27</v>
      </c>
      <c r="B182" t="s">
        <v>130</v>
      </c>
      <c r="C182" t="s">
        <v>147</v>
      </c>
      <c r="D182">
        <v>4.0999999999999996</v>
      </c>
      <c r="E182">
        <v>0</v>
      </c>
      <c r="F182">
        <v>0</v>
      </c>
      <c r="G182">
        <v>0.4</v>
      </c>
      <c r="H182">
        <v>0</v>
      </c>
      <c r="I182">
        <v>0</v>
      </c>
      <c r="J182">
        <v>0.5</v>
      </c>
      <c r="K182">
        <v>0</v>
      </c>
      <c r="L182" t="s">
        <v>132</v>
      </c>
      <c r="M182" t="s">
        <v>147</v>
      </c>
      <c r="N182">
        <v>826323</v>
      </c>
    </row>
    <row r="183" spans="1:14">
      <c r="A183" t="s">
        <v>27</v>
      </c>
      <c r="B183" t="s">
        <v>130</v>
      </c>
      <c r="C183" t="s">
        <v>147</v>
      </c>
      <c r="D183">
        <v>3.94999999999999</v>
      </c>
      <c r="E183">
        <v>0</v>
      </c>
      <c r="F183">
        <v>0</v>
      </c>
      <c r="G183">
        <v>0.4</v>
      </c>
      <c r="H183">
        <v>0</v>
      </c>
      <c r="I183">
        <v>0</v>
      </c>
      <c r="J183">
        <v>0.5</v>
      </c>
      <c r="K183">
        <v>0</v>
      </c>
      <c r="L183" t="s">
        <v>132</v>
      </c>
      <c r="M183" t="s">
        <v>147</v>
      </c>
      <c r="N183">
        <v>826325</v>
      </c>
    </row>
    <row r="184" spans="1:14">
      <c r="A184" t="s">
        <v>27</v>
      </c>
      <c r="B184" t="s">
        <v>130</v>
      </c>
      <c r="C184" t="s">
        <v>147</v>
      </c>
      <c r="D184">
        <v>4.0999999999999996</v>
      </c>
      <c r="E184">
        <v>0</v>
      </c>
      <c r="F184">
        <v>0</v>
      </c>
      <c r="G184">
        <v>0.4</v>
      </c>
      <c r="H184">
        <v>0</v>
      </c>
      <c r="I184">
        <v>0</v>
      </c>
      <c r="J184">
        <v>0.5</v>
      </c>
      <c r="K184">
        <v>0</v>
      </c>
      <c r="L184" t="s">
        <v>132</v>
      </c>
      <c r="M184" t="s">
        <v>147</v>
      </c>
      <c r="N184">
        <v>826327</v>
      </c>
    </row>
    <row r="185" spans="1:14">
      <c r="A185" t="s">
        <v>27</v>
      </c>
      <c r="B185" t="s">
        <v>130</v>
      </c>
      <c r="C185" t="s">
        <v>147</v>
      </c>
      <c r="D185">
        <v>3.94999999999999</v>
      </c>
      <c r="E185">
        <v>0</v>
      </c>
      <c r="F185">
        <v>0</v>
      </c>
      <c r="G185">
        <v>0.4</v>
      </c>
      <c r="H185">
        <v>0</v>
      </c>
      <c r="I185">
        <v>0</v>
      </c>
      <c r="J185">
        <v>0.5</v>
      </c>
      <c r="K185">
        <v>0</v>
      </c>
      <c r="L185" t="s">
        <v>132</v>
      </c>
      <c r="M185" t="s">
        <v>147</v>
      </c>
      <c r="N185">
        <v>826329</v>
      </c>
    </row>
    <row r="186" spans="1:14">
      <c r="A186" t="s">
        <v>27</v>
      </c>
      <c r="B186" t="s">
        <v>130</v>
      </c>
      <c r="C186" t="s">
        <v>147</v>
      </c>
      <c r="D186">
        <v>4.0999999999999996</v>
      </c>
      <c r="E186">
        <v>0</v>
      </c>
      <c r="F186">
        <v>0</v>
      </c>
      <c r="G186">
        <v>0.4</v>
      </c>
      <c r="H186">
        <v>0</v>
      </c>
      <c r="I186">
        <v>0</v>
      </c>
      <c r="J186">
        <v>0.5</v>
      </c>
      <c r="K186">
        <v>0</v>
      </c>
      <c r="L186" t="s">
        <v>132</v>
      </c>
      <c r="M186" t="s">
        <v>147</v>
      </c>
      <c r="N186">
        <v>826331</v>
      </c>
    </row>
    <row r="187" spans="1:14">
      <c r="A187" t="s">
        <v>27</v>
      </c>
      <c r="B187" t="s">
        <v>130</v>
      </c>
      <c r="C187" t="s">
        <v>147</v>
      </c>
      <c r="D187">
        <v>3.94999999999999</v>
      </c>
      <c r="E187">
        <v>0</v>
      </c>
      <c r="F187">
        <v>0</v>
      </c>
      <c r="G187">
        <v>0.4</v>
      </c>
      <c r="H187">
        <v>0</v>
      </c>
      <c r="I187">
        <v>0</v>
      </c>
      <c r="J187">
        <v>0.5</v>
      </c>
      <c r="K187">
        <v>0</v>
      </c>
      <c r="L187" t="s">
        <v>132</v>
      </c>
      <c r="M187" t="s">
        <v>147</v>
      </c>
      <c r="N187">
        <v>826333</v>
      </c>
    </row>
    <row r="188" spans="1:14">
      <c r="A188" t="s">
        <v>27</v>
      </c>
      <c r="B188" t="s">
        <v>130</v>
      </c>
      <c r="C188" t="s">
        <v>147</v>
      </c>
      <c r="D188">
        <v>4.0999999999999996</v>
      </c>
      <c r="E188">
        <v>0</v>
      </c>
      <c r="F188">
        <v>0</v>
      </c>
      <c r="G188">
        <v>0.4</v>
      </c>
      <c r="H188">
        <v>0</v>
      </c>
      <c r="I188">
        <v>0</v>
      </c>
      <c r="J188">
        <v>0.5</v>
      </c>
      <c r="K188">
        <v>0</v>
      </c>
      <c r="L188" t="s">
        <v>132</v>
      </c>
      <c r="M188" t="s">
        <v>147</v>
      </c>
      <c r="N188">
        <v>826335</v>
      </c>
    </row>
    <row r="189" spans="1:14">
      <c r="A189" t="s">
        <v>27</v>
      </c>
      <c r="B189" t="s">
        <v>130</v>
      </c>
      <c r="C189" t="s">
        <v>147</v>
      </c>
      <c r="D189">
        <v>4.0999999999999996</v>
      </c>
      <c r="E189">
        <v>0</v>
      </c>
      <c r="F189">
        <v>0</v>
      </c>
      <c r="G189">
        <v>0.4</v>
      </c>
      <c r="H189">
        <v>0</v>
      </c>
      <c r="I189">
        <v>0</v>
      </c>
      <c r="J189">
        <v>0.5</v>
      </c>
      <c r="K189">
        <v>0</v>
      </c>
      <c r="L189" t="s">
        <v>132</v>
      </c>
      <c r="M189" t="s">
        <v>147</v>
      </c>
      <c r="N189">
        <v>826337</v>
      </c>
    </row>
    <row r="190" spans="1:14">
      <c r="A190" t="s">
        <v>27</v>
      </c>
      <c r="B190" t="s">
        <v>130</v>
      </c>
      <c r="C190" t="s">
        <v>147</v>
      </c>
      <c r="D190">
        <v>3.94999999999999</v>
      </c>
      <c r="E190">
        <v>0</v>
      </c>
      <c r="F190">
        <v>0</v>
      </c>
      <c r="G190">
        <v>0.4</v>
      </c>
      <c r="H190">
        <v>0</v>
      </c>
      <c r="I190">
        <v>0</v>
      </c>
      <c r="J190">
        <v>0.5</v>
      </c>
      <c r="K190">
        <v>0</v>
      </c>
      <c r="L190" t="s">
        <v>132</v>
      </c>
      <c r="M190" t="s">
        <v>147</v>
      </c>
      <c r="N190">
        <v>826339</v>
      </c>
    </row>
    <row r="191" spans="1:14">
      <c r="A191" t="s">
        <v>27</v>
      </c>
      <c r="B191" t="s">
        <v>130</v>
      </c>
      <c r="C191" t="s">
        <v>147</v>
      </c>
      <c r="D191">
        <v>4.0999999999999996</v>
      </c>
      <c r="E191">
        <v>0</v>
      </c>
      <c r="F191">
        <v>0</v>
      </c>
      <c r="G191">
        <v>0.4</v>
      </c>
      <c r="H191">
        <v>0</v>
      </c>
      <c r="I191">
        <v>0</v>
      </c>
      <c r="J191">
        <v>0.5</v>
      </c>
      <c r="K191">
        <v>0</v>
      </c>
      <c r="L191" t="s">
        <v>132</v>
      </c>
      <c r="M191" t="s">
        <v>147</v>
      </c>
      <c r="N191">
        <v>826341</v>
      </c>
    </row>
    <row r="192" spans="1:14">
      <c r="A192" t="s">
        <v>27</v>
      </c>
      <c r="B192" t="s">
        <v>130</v>
      </c>
      <c r="C192" t="s">
        <v>147</v>
      </c>
      <c r="D192">
        <v>3.94999999999999</v>
      </c>
      <c r="E192">
        <v>0</v>
      </c>
      <c r="F192">
        <v>0</v>
      </c>
      <c r="G192">
        <v>0.4</v>
      </c>
      <c r="H192">
        <v>0</v>
      </c>
      <c r="I192">
        <v>0</v>
      </c>
      <c r="J192">
        <v>0.5</v>
      </c>
      <c r="K192">
        <v>0</v>
      </c>
      <c r="L192" t="s">
        <v>132</v>
      </c>
      <c r="M192" t="s">
        <v>147</v>
      </c>
      <c r="N192">
        <v>826343</v>
      </c>
    </row>
    <row r="193" spans="1:14">
      <c r="A193" t="s">
        <v>27</v>
      </c>
      <c r="B193" t="s">
        <v>130</v>
      </c>
      <c r="C193" t="s">
        <v>147</v>
      </c>
      <c r="D193">
        <v>4.0999999999999996</v>
      </c>
      <c r="E193">
        <v>0</v>
      </c>
      <c r="F193">
        <v>0</v>
      </c>
      <c r="G193">
        <v>0.4</v>
      </c>
      <c r="H193">
        <v>0</v>
      </c>
      <c r="I193">
        <v>0</v>
      </c>
      <c r="J193">
        <v>0.5</v>
      </c>
      <c r="K193">
        <v>0</v>
      </c>
      <c r="L193" t="s">
        <v>132</v>
      </c>
      <c r="M193" t="s">
        <v>147</v>
      </c>
      <c r="N193">
        <v>826345</v>
      </c>
    </row>
    <row r="194" spans="1:14">
      <c r="A194" t="s">
        <v>27</v>
      </c>
      <c r="B194" t="s">
        <v>130</v>
      </c>
      <c r="C194" t="s">
        <v>147</v>
      </c>
      <c r="D194">
        <v>3.94999999999999</v>
      </c>
      <c r="E194">
        <v>0</v>
      </c>
      <c r="F194">
        <v>0</v>
      </c>
      <c r="G194">
        <v>0.4</v>
      </c>
      <c r="H194">
        <v>0</v>
      </c>
      <c r="I194">
        <v>0</v>
      </c>
      <c r="J194">
        <v>0.5</v>
      </c>
      <c r="K194">
        <v>0</v>
      </c>
      <c r="L194" t="s">
        <v>132</v>
      </c>
      <c r="M194" t="s">
        <v>147</v>
      </c>
      <c r="N194">
        <v>826347</v>
      </c>
    </row>
    <row r="195" spans="1:14">
      <c r="A195" t="s">
        <v>27</v>
      </c>
      <c r="B195" t="s">
        <v>130</v>
      </c>
      <c r="C195" t="s">
        <v>147</v>
      </c>
      <c r="D195">
        <v>4.0999999999999996</v>
      </c>
      <c r="E195">
        <v>0</v>
      </c>
      <c r="F195">
        <v>0</v>
      </c>
      <c r="G195">
        <v>0.4</v>
      </c>
      <c r="H195">
        <v>0</v>
      </c>
      <c r="I195">
        <v>0</v>
      </c>
      <c r="J195">
        <v>0.5</v>
      </c>
      <c r="K195">
        <v>0</v>
      </c>
      <c r="L195" t="s">
        <v>132</v>
      </c>
      <c r="M195" t="s">
        <v>147</v>
      </c>
      <c r="N195">
        <v>826349</v>
      </c>
    </row>
    <row r="196" spans="1:14">
      <c r="A196" t="s">
        <v>27</v>
      </c>
      <c r="B196" t="s">
        <v>130</v>
      </c>
      <c r="C196" t="s">
        <v>147</v>
      </c>
      <c r="D196">
        <v>3.94999999999999</v>
      </c>
      <c r="E196">
        <v>0</v>
      </c>
      <c r="F196">
        <v>0</v>
      </c>
      <c r="G196">
        <v>0.4</v>
      </c>
      <c r="H196">
        <v>0</v>
      </c>
      <c r="I196">
        <v>0</v>
      </c>
      <c r="J196">
        <v>0.5</v>
      </c>
      <c r="K196">
        <v>0</v>
      </c>
      <c r="L196" t="s">
        <v>132</v>
      </c>
      <c r="M196" t="s">
        <v>147</v>
      </c>
      <c r="N196">
        <v>826351</v>
      </c>
    </row>
    <row r="197" spans="1:14">
      <c r="A197" t="s">
        <v>27</v>
      </c>
      <c r="B197" t="s">
        <v>130</v>
      </c>
      <c r="C197" t="s">
        <v>147</v>
      </c>
      <c r="D197">
        <v>4.0999999999999996</v>
      </c>
      <c r="E197">
        <v>0</v>
      </c>
      <c r="F197">
        <v>0</v>
      </c>
      <c r="G197">
        <v>0.4</v>
      </c>
      <c r="H197">
        <v>0</v>
      </c>
      <c r="I197">
        <v>0</v>
      </c>
      <c r="J197">
        <v>0.5</v>
      </c>
      <c r="K197">
        <v>0</v>
      </c>
      <c r="L197" t="s">
        <v>132</v>
      </c>
      <c r="M197" t="s">
        <v>147</v>
      </c>
      <c r="N197">
        <v>826353</v>
      </c>
    </row>
    <row r="198" spans="1:14">
      <c r="A198" t="s">
        <v>27</v>
      </c>
      <c r="B198" t="s">
        <v>130</v>
      </c>
      <c r="C198" t="s">
        <v>147</v>
      </c>
      <c r="D198">
        <v>4.0999999999999996</v>
      </c>
      <c r="E198">
        <v>0</v>
      </c>
      <c r="F198">
        <v>0</v>
      </c>
      <c r="G198">
        <v>0.4</v>
      </c>
      <c r="H198">
        <v>0</v>
      </c>
      <c r="I198">
        <v>0</v>
      </c>
      <c r="J198">
        <v>0.5</v>
      </c>
      <c r="K198">
        <v>0</v>
      </c>
      <c r="L198" t="s">
        <v>132</v>
      </c>
      <c r="M198" t="s">
        <v>147</v>
      </c>
      <c r="N198">
        <v>826355</v>
      </c>
    </row>
    <row r="199" spans="1:14">
      <c r="A199" t="s">
        <v>27</v>
      </c>
      <c r="B199" t="s">
        <v>130</v>
      </c>
      <c r="C199" t="s">
        <v>147</v>
      </c>
      <c r="D199">
        <v>3.94999999999999</v>
      </c>
      <c r="E199">
        <v>0</v>
      </c>
      <c r="F199">
        <v>0</v>
      </c>
      <c r="G199">
        <v>0.4</v>
      </c>
      <c r="H199">
        <v>0</v>
      </c>
      <c r="I199">
        <v>0</v>
      </c>
      <c r="J199">
        <v>0.5</v>
      </c>
      <c r="K199">
        <v>0</v>
      </c>
      <c r="L199" t="s">
        <v>132</v>
      </c>
      <c r="M199" t="s">
        <v>147</v>
      </c>
      <c r="N199">
        <v>826357</v>
      </c>
    </row>
    <row r="200" spans="1:14">
      <c r="A200" t="s">
        <v>27</v>
      </c>
      <c r="B200" t="s">
        <v>130</v>
      </c>
      <c r="C200" t="s">
        <v>147</v>
      </c>
      <c r="D200">
        <v>3.94999999999999</v>
      </c>
      <c r="E200">
        <v>0</v>
      </c>
      <c r="F200">
        <v>0</v>
      </c>
      <c r="G200">
        <v>0.4</v>
      </c>
      <c r="H200">
        <v>0</v>
      </c>
      <c r="I200">
        <v>0</v>
      </c>
      <c r="J200">
        <v>0.5</v>
      </c>
      <c r="K200">
        <v>0</v>
      </c>
      <c r="L200" t="s">
        <v>132</v>
      </c>
      <c r="M200" t="s">
        <v>147</v>
      </c>
      <c r="N200">
        <v>826359</v>
      </c>
    </row>
    <row r="201" spans="1:14">
      <c r="A201" t="s">
        <v>27</v>
      </c>
      <c r="B201" t="s">
        <v>130</v>
      </c>
      <c r="C201" t="s">
        <v>147</v>
      </c>
      <c r="D201">
        <v>3.94999999999999</v>
      </c>
      <c r="E201">
        <v>0</v>
      </c>
      <c r="F201">
        <v>0</v>
      </c>
      <c r="G201">
        <v>0.4</v>
      </c>
      <c r="H201">
        <v>0</v>
      </c>
      <c r="I201">
        <v>0</v>
      </c>
      <c r="J201">
        <v>0.5</v>
      </c>
      <c r="K201">
        <v>0</v>
      </c>
      <c r="L201" t="s">
        <v>132</v>
      </c>
      <c r="M201" t="s">
        <v>147</v>
      </c>
      <c r="N201">
        <v>826361</v>
      </c>
    </row>
    <row r="202" spans="1:14">
      <c r="A202" t="s">
        <v>27</v>
      </c>
      <c r="B202" t="s">
        <v>130</v>
      </c>
      <c r="C202" t="s">
        <v>147</v>
      </c>
      <c r="D202">
        <v>3.94999999999999</v>
      </c>
      <c r="E202">
        <v>0</v>
      </c>
      <c r="F202">
        <v>0</v>
      </c>
      <c r="G202">
        <v>0.4</v>
      </c>
      <c r="H202">
        <v>0</v>
      </c>
      <c r="I202">
        <v>0</v>
      </c>
      <c r="J202">
        <v>0.5</v>
      </c>
      <c r="K202">
        <v>0</v>
      </c>
      <c r="L202" t="s">
        <v>132</v>
      </c>
      <c r="M202" t="s">
        <v>147</v>
      </c>
      <c r="N202">
        <v>826363</v>
      </c>
    </row>
    <row r="203" spans="1:14">
      <c r="A203" t="s">
        <v>27</v>
      </c>
      <c r="B203" t="s">
        <v>130</v>
      </c>
      <c r="C203" t="s">
        <v>147</v>
      </c>
      <c r="D203">
        <v>3.8499999999999899</v>
      </c>
      <c r="E203">
        <v>0</v>
      </c>
      <c r="F203">
        <v>0</v>
      </c>
      <c r="G203">
        <v>0.4</v>
      </c>
      <c r="H203">
        <v>0</v>
      </c>
      <c r="I203">
        <v>0</v>
      </c>
      <c r="J203">
        <v>0.5</v>
      </c>
      <c r="K203">
        <v>0</v>
      </c>
      <c r="L203" t="s">
        <v>132</v>
      </c>
      <c r="M203" t="s">
        <v>147</v>
      </c>
      <c r="N203">
        <v>826365</v>
      </c>
    </row>
    <row r="204" spans="1:14">
      <c r="A204" t="s">
        <v>27</v>
      </c>
      <c r="B204" t="s">
        <v>130</v>
      </c>
      <c r="C204" t="s">
        <v>147</v>
      </c>
      <c r="D204">
        <v>3.8499999999999899</v>
      </c>
      <c r="E204">
        <v>0</v>
      </c>
      <c r="F204">
        <v>0</v>
      </c>
      <c r="G204">
        <v>0.4</v>
      </c>
      <c r="H204">
        <v>0</v>
      </c>
      <c r="I204">
        <v>0</v>
      </c>
      <c r="J204">
        <v>0.5</v>
      </c>
      <c r="K204">
        <v>0</v>
      </c>
      <c r="L204" t="s">
        <v>132</v>
      </c>
      <c r="M204" t="s">
        <v>147</v>
      </c>
      <c r="N204">
        <v>826367</v>
      </c>
    </row>
    <row r="205" spans="1:14">
      <c r="A205" t="s">
        <v>27</v>
      </c>
      <c r="B205" t="s">
        <v>130</v>
      </c>
      <c r="C205" t="s">
        <v>147</v>
      </c>
      <c r="D205">
        <v>3.8499999999999899</v>
      </c>
      <c r="E205">
        <v>0</v>
      </c>
      <c r="F205">
        <v>0</v>
      </c>
      <c r="G205">
        <v>0.4</v>
      </c>
      <c r="H205">
        <v>0</v>
      </c>
      <c r="I205">
        <v>0</v>
      </c>
      <c r="J205">
        <v>0.5</v>
      </c>
      <c r="K205">
        <v>0</v>
      </c>
      <c r="L205" t="s">
        <v>132</v>
      </c>
      <c r="M205" t="s">
        <v>147</v>
      </c>
      <c r="N205">
        <v>826369</v>
      </c>
    </row>
    <row r="206" spans="1:14">
      <c r="A206" t="s">
        <v>27</v>
      </c>
      <c r="B206" t="s">
        <v>130</v>
      </c>
      <c r="C206" t="s">
        <v>147</v>
      </c>
      <c r="D206">
        <v>3.8499999999999899</v>
      </c>
      <c r="E206">
        <v>0</v>
      </c>
      <c r="F206">
        <v>0</v>
      </c>
      <c r="G206">
        <v>0.4</v>
      </c>
      <c r="H206">
        <v>0</v>
      </c>
      <c r="I206">
        <v>0</v>
      </c>
      <c r="J206">
        <v>0.5</v>
      </c>
      <c r="K206">
        <v>0</v>
      </c>
      <c r="L206" t="s">
        <v>132</v>
      </c>
      <c r="M206" t="s">
        <v>147</v>
      </c>
      <c r="N206">
        <v>826371</v>
      </c>
    </row>
    <row r="207" spans="1:14">
      <c r="A207" t="s">
        <v>27</v>
      </c>
      <c r="B207" t="s">
        <v>130</v>
      </c>
      <c r="C207" t="s">
        <v>147</v>
      </c>
      <c r="D207">
        <v>3.8499999999999899</v>
      </c>
      <c r="E207">
        <v>0</v>
      </c>
      <c r="F207">
        <v>0</v>
      </c>
      <c r="G207">
        <v>0.4</v>
      </c>
      <c r="H207">
        <v>0</v>
      </c>
      <c r="I207">
        <v>0</v>
      </c>
      <c r="J207">
        <v>0.5</v>
      </c>
      <c r="K207">
        <v>0</v>
      </c>
      <c r="L207" t="s">
        <v>132</v>
      </c>
      <c r="M207" t="s">
        <v>147</v>
      </c>
      <c r="N207">
        <v>826373</v>
      </c>
    </row>
    <row r="208" spans="1:14">
      <c r="A208" t="s">
        <v>27</v>
      </c>
      <c r="B208" t="s">
        <v>130</v>
      </c>
      <c r="C208" t="s">
        <v>147</v>
      </c>
      <c r="D208">
        <v>3.8499999999999899</v>
      </c>
      <c r="E208">
        <v>0</v>
      </c>
      <c r="F208">
        <v>0</v>
      </c>
      <c r="G208">
        <v>0.4</v>
      </c>
      <c r="H208">
        <v>0</v>
      </c>
      <c r="I208">
        <v>0</v>
      </c>
      <c r="J208">
        <v>0.5</v>
      </c>
      <c r="K208">
        <v>0</v>
      </c>
      <c r="L208" t="s">
        <v>132</v>
      </c>
      <c r="M208" t="s">
        <v>147</v>
      </c>
      <c r="N208">
        <v>826375</v>
      </c>
    </row>
    <row r="209" spans="1:14">
      <c r="A209" t="s">
        <v>27</v>
      </c>
      <c r="B209" t="s">
        <v>130</v>
      </c>
      <c r="C209" t="s">
        <v>147</v>
      </c>
      <c r="D209">
        <v>3.8499999999999899</v>
      </c>
      <c r="E209">
        <v>0</v>
      </c>
      <c r="F209">
        <v>0</v>
      </c>
      <c r="G209">
        <v>0.4</v>
      </c>
      <c r="H209">
        <v>0</v>
      </c>
      <c r="I209">
        <v>0</v>
      </c>
      <c r="J209">
        <v>0.5</v>
      </c>
      <c r="K209">
        <v>0</v>
      </c>
      <c r="L209" t="s">
        <v>132</v>
      </c>
      <c r="M209" t="s">
        <v>147</v>
      </c>
      <c r="N209">
        <v>826377</v>
      </c>
    </row>
    <row r="210" spans="1:14">
      <c r="A210" t="s">
        <v>27</v>
      </c>
      <c r="B210" t="s">
        <v>130</v>
      </c>
      <c r="C210" t="s">
        <v>147</v>
      </c>
      <c r="D210">
        <v>3.8499999999999899</v>
      </c>
      <c r="E210">
        <v>0</v>
      </c>
      <c r="F210">
        <v>0</v>
      </c>
      <c r="G210">
        <v>0.4</v>
      </c>
      <c r="H210">
        <v>0</v>
      </c>
      <c r="I210">
        <v>0</v>
      </c>
      <c r="J210">
        <v>0.5</v>
      </c>
      <c r="K210">
        <v>0</v>
      </c>
      <c r="L210" t="s">
        <v>132</v>
      </c>
      <c r="M210" t="s">
        <v>147</v>
      </c>
      <c r="N210">
        <v>826379</v>
      </c>
    </row>
    <row r="211" spans="1:14">
      <c r="A211" t="s">
        <v>27</v>
      </c>
      <c r="B211" t="s">
        <v>130</v>
      </c>
      <c r="C211" t="s">
        <v>147</v>
      </c>
      <c r="D211">
        <v>3.8499999999999899</v>
      </c>
      <c r="E211">
        <v>0</v>
      </c>
      <c r="F211">
        <v>0</v>
      </c>
      <c r="G211">
        <v>0.4</v>
      </c>
      <c r="H211">
        <v>0</v>
      </c>
      <c r="I211">
        <v>0</v>
      </c>
      <c r="J211">
        <v>0.5</v>
      </c>
      <c r="K211">
        <v>0</v>
      </c>
      <c r="L211" t="s">
        <v>132</v>
      </c>
      <c r="M211" t="s">
        <v>147</v>
      </c>
      <c r="N211">
        <v>826381</v>
      </c>
    </row>
    <row r="212" spans="1:14">
      <c r="A212" t="s">
        <v>27</v>
      </c>
      <c r="B212" t="s">
        <v>130</v>
      </c>
      <c r="C212" t="s">
        <v>147</v>
      </c>
      <c r="D212">
        <v>3.8499999999999899</v>
      </c>
      <c r="E212">
        <v>0</v>
      </c>
      <c r="F212">
        <v>0</v>
      </c>
      <c r="G212">
        <v>0.4</v>
      </c>
      <c r="H212">
        <v>0</v>
      </c>
      <c r="I212">
        <v>0</v>
      </c>
      <c r="J212">
        <v>0.5</v>
      </c>
      <c r="K212">
        <v>0</v>
      </c>
      <c r="L212" t="s">
        <v>132</v>
      </c>
      <c r="M212" t="s">
        <v>147</v>
      </c>
      <c r="N212">
        <v>826383</v>
      </c>
    </row>
    <row r="213" spans="1:14">
      <c r="A213" t="s">
        <v>27</v>
      </c>
      <c r="B213" t="s">
        <v>130</v>
      </c>
      <c r="C213" t="s">
        <v>147</v>
      </c>
      <c r="D213">
        <v>3.8499999999999899</v>
      </c>
      <c r="E213">
        <v>0</v>
      </c>
      <c r="F213">
        <v>0</v>
      </c>
      <c r="G213">
        <v>0.4</v>
      </c>
      <c r="H213">
        <v>0</v>
      </c>
      <c r="I213">
        <v>0</v>
      </c>
      <c r="J213">
        <v>0.5</v>
      </c>
      <c r="K213">
        <v>0</v>
      </c>
      <c r="L213" t="s">
        <v>132</v>
      </c>
      <c r="M213" t="s">
        <v>147</v>
      </c>
      <c r="N213">
        <v>826385</v>
      </c>
    </row>
    <row r="214" spans="1:14">
      <c r="A214" t="s">
        <v>27</v>
      </c>
      <c r="B214" t="s">
        <v>130</v>
      </c>
      <c r="C214" t="s">
        <v>147</v>
      </c>
      <c r="D214">
        <v>3.8499999999999899</v>
      </c>
      <c r="E214">
        <v>0</v>
      </c>
      <c r="F214">
        <v>0</v>
      </c>
      <c r="G214">
        <v>0.4</v>
      </c>
      <c r="H214">
        <v>0</v>
      </c>
      <c r="I214">
        <v>0</v>
      </c>
      <c r="J214">
        <v>0.5</v>
      </c>
      <c r="K214">
        <v>0</v>
      </c>
      <c r="L214" t="s">
        <v>132</v>
      </c>
      <c r="M214" t="s">
        <v>147</v>
      </c>
      <c r="N214">
        <v>826387</v>
      </c>
    </row>
    <row r="215" spans="1:14">
      <c r="A215" t="s">
        <v>27</v>
      </c>
      <c r="B215" t="s">
        <v>130</v>
      </c>
      <c r="C215" t="s">
        <v>147</v>
      </c>
      <c r="D215">
        <v>3.8499999999999899</v>
      </c>
      <c r="E215">
        <v>0</v>
      </c>
      <c r="F215">
        <v>0</v>
      </c>
      <c r="G215">
        <v>0.4</v>
      </c>
      <c r="H215">
        <v>0</v>
      </c>
      <c r="I215">
        <v>0</v>
      </c>
      <c r="J215">
        <v>0.5</v>
      </c>
      <c r="K215">
        <v>0</v>
      </c>
      <c r="L215" t="s">
        <v>132</v>
      </c>
      <c r="M215" t="s">
        <v>147</v>
      </c>
      <c r="N215">
        <v>826389</v>
      </c>
    </row>
    <row r="216" spans="1:14">
      <c r="A216" t="s">
        <v>27</v>
      </c>
      <c r="B216" t="s">
        <v>130</v>
      </c>
      <c r="C216" t="s">
        <v>147</v>
      </c>
      <c r="D216">
        <v>3.8499999999999899</v>
      </c>
      <c r="E216">
        <v>0</v>
      </c>
      <c r="F216">
        <v>0</v>
      </c>
      <c r="G216">
        <v>0.4</v>
      </c>
      <c r="H216">
        <v>0</v>
      </c>
      <c r="I216">
        <v>0</v>
      </c>
      <c r="J216">
        <v>0.5</v>
      </c>
      <c r="K216">
        <v>0</v>
      </c>
      <c r="L216" t="s">
        <v>132</v>
      </c>
      <c r="M216" t="s">
        <v>147</v>
      </c>
      <c r="N216">
        <v>826391</v>
      </c>
    </row>
    <row r="217" spans="1:14">
      <c r="A217" t="s">
        <v>27</v>
      </c>
      <c r="B217" t="s">
        <v>130</v>
      </c>
      <c r="C217" t="s">
        <v>147</v>
      </c>
      <c r="D217">
        <v>3.8499999999999899</v>
      </c>
      <c r="E217">
        <v>0</v>
      </c>
      <c r="F217">
        <v>0</v>
      </c>
      <c r="G217">
        <v>0.4</v>
      </c>
      <c r="H217">
        <v>0</v>
      </c>
      <c r="I217">
        <v>0</v>
      </c>
      <c r="J217">
        <v>0.5</v>
      </c>
      <c r="K217">
        <v>0</v>
      </c>
      <c r="L217" t="s">
        <v>132</v>
      </c>
      <c r="M217" t="s">
        <v>147</v>
      </c>
      <c r="N217">
        <v>826393</v>
      </c>
    </row>
    <row r="218" spans="1:14">
      <c r="A218" t="s">
        <v>27</v>
      </c>
      <c r="B218" t="s">
        <v>130</v>
      </c>
      <c r="C218" t="s">
        <v>147</v>
      </c>
      <c r="D218">
        <v>3.8499999999999899</v>
      </c>
      <c r="E218">
        <v>0</v>
      </c>
      <c r="F218">
        <v>0</v>
      </c>
      <c r="G218">
        <v>0.4</v>
      </c>
      <c r="H218">
        <v>0</v>
      </c>
      <c r="I218">
        <v>0</v>
      </c>
      <c r="J218">
        <v>0.5</v>
      </c>
      <c r="K218">
        <v>0</v>
      </c>
      <c r="L218" t="s">
        <v>132</v>
      </c>
      <c r="M218" t="s">
        <v>147</v>
      </c>
      <c r="N218">
        <v>826395</v>
      </c>
    </row>
    <row r="219" spans="1:14">
      <c r="A219" t="s">
        <v>27</v>
      </c>
      <c r="B219" t="s">
        <v>130</v>
      </c>
      <c r="C219" t="s">
        <v>147</v>
      </c>
      <c r="D219">
        <v>3.8499999999999899</v>
      </c>
      <c r="E219">
        <v>0</v>
      </c>
      <c r="F219">
        <v>0</v>
      </c>
      <c r="G219">
        <v>0.4</v>
      </c>
      <c r="H219">
        <v>0</v>
      </c>
      <c r="I219">
        <v>0</v>
      </c>
      <c r="J219">
        <v>0.5</v>
      </c>
      <c r="K219">
        <v>0</v>
      </c>
      <c r="L219" t="s">
        <v>132</v>
      </c>
      <c r="M219" t="s">
        <v>147</v>
      </c>
      <c r="N219">
        <v>826397</v>
      </c>
    </row>
    <row r="220" spans="1:14">
      <c r="A220" t="s">
        <v>27</v>
      </c>
      <c r="B220" t="s">
        <v>130</v>
      </c>
      <c r="C220" t="s">
        <v>147</v>
      </c>
      <c r="D220">
        <v>3.8499999999999899</v>
      </c>
      <c r="E220">
        <v>0</v>
      </c>
      <c r="F220">
        <v>0</v>
      </c>
      <c r="G220">
        <v>0.4</v>
      </c>
      <c r="H220">
        <v>0</v>
      </c>
      <c r="I220">
        <v>0</v>
      </c>
      <c r="J220">
        <v>0.5</v>
      </c>
      <c r="K220">
        <v>0</v>
      </c>
      <c r="L220" t="s">
        <v>132</v>
      </c>
      <c r="M220" t="s">
        <v>147</v>
      </c>
      <c r="N220">
        <v>826399</v>
      </c>
    </row>
    <row r="221" spans="1:14">
      <c r="A221" t="s">
        <v>27</v>
      </c>
      <c r="B221" t="s">
        <v>130</v>
      </c>
      <c r="C221" t="s">
        <v>147</v>
      </c>
      <c r="D221">
        <v>3.8499999999999899</v>
      </c>
      <c r="E221">
        <v>0</v>
      </c>
      <c r="F221">
        <v>0</v>
      </c>
      <c r="G221">
        <v>0.4</v>
      </c>
      <c r="H221">
        <v>0</v>
      </c>
      <c r="I221">
        <v>0</v>
      </c>
      <c r="J221">
        <v>0.5</v>
      </c>
      <c r="K221">
        <v>0</v>
      </c>
      <c r="L221" t="s">
        <v>132</v>
      </c>
      <c r="M221" t="s">
        <v>147</v>
      </c>
      <c r="N221">
        <v>826401</v>
      </c>
    </row>
    <row r="222" spans="1:14">
      <c r="A222" t="s">
        <v>27</v>
      </c>
      <c r="B222" t="s">
        <v>130</v>
      </c>
      <c r="C222" t="s">
        <v>147</v>
      </c>
      <c r="D222">
        <v>3.8499999999999899</v>
      </c>
      <c r="E222">
        <v>0</v>
      </c>
      <c r="F222">
        <v>0</v>
      </c>
      <c r="G222">
        <v>0.4</v>
      </c>
      <c r="H222">
        <v>0</v>
      </c>
      <c r="I222">
        <v>0</v>
      </c>
      <c r="J222">
        <v>0.5</v>
      </c>
      <c r="K222">
        <v>0</v>
      </c>
      <c r="L222" t="s">
        <v>132</v>
      </c>
      <c r="M222" t="s">
        <v>147</v>
      </c>
      <c r="N222">
        <v>826403</v>
      </c>
    </row>
    <row r="223" spans="1:14">
      <c r="A223" t="s">
        <v>27</v>
      </c>
      <c r="B223" t="s">
        <v>130</v>
      </c>
      <c r="C223" t="s">
        <v>147</v>
      </c>
      <c r="D223">
        <v>3.8499999999999899</v>
      </c>
      <c r="E223">
        <v>0</v>
      </c>
      <c r="F223">
        <v>0</v>
      </c>
      <c r="G223">
        <v>0.4</v>
      </c>
      <c r="H223">
        <v>0</v>
      </c>
      <c r="I223">
        <v>0</v>
      </c>
      <c r="J223">
        <v>0.5</v>
      </c>
      <c r="K223">
        <v>0</v>
      </c>
      <c r="L223" t="s">
        <v>132</v>
      </c>
      <c r="M223" t="s">
        <v>147</v>
      </c>
      <c r="N223">
        <v>826405</v>
      </c>
    </row>
    <row r="224" spans="1:14">
      <c r="A224" t="s">
        <v>27</v>
      </c>
      <c r="B224" t="s">
        <v>130</v>
      </c>
      <c r="C224" t="s">
        <v>147</v>
      </c>
      <c r="D224">
        <v>3.8499999999999899</v>
      </c>
      <c r="E224">
        <v>0</v>
      </c>
      <c r="F224">
        <v>0</v>
      </c>
      <c r="G224">
        <v>0.4</v>
      </c>
      <c r="H224">
        <v>0</v>
      </c>
      <c r="I224">
        <v>0</v>
      </c>
      <c r="J224">
        <v>0.5</v>
      </c>
      <c r="K224">
        <v>0</v>
      </c>
      <c r="L224" t="s">
        <v>132</v>
      </c>
      <c r="M224" t="s">
        <v>147</v>
      </c>
      <c r="N224">
        <v>826407</v>
      </c>
    </row>
    <row r="225" spans="1:14">
      <c r="A225" t="s">
        <v>19</v>
      </c>
      <c r="B225" t="s">
        <v>130</v>
      </c>
      <c r="C225" t="s">
        <v>148</v>
      </c>
      <c r="D225">
        <v>27.6999999999999</v>
      </c>
      <c r="E225">
        <v>2.69999999999999</v>
      </c>
      <c r="F225">
        <v>0</v>
      </c>
      <c r="G225">
        <v>25.3</v>
      </c>
      <c r="H225">
        <v>22.7</v>
      </c>
      <c r="I225">
        <v>0</v>
      </c>
      <c r="J225">
        <v>0.3</v>
      </c>
      <c r="K225">
        <v>0</v>
      </c>
      <c r="L225" t="s">
        <v>132</v>
      </c>
      <c r="M225" t="s">
        <v>149</v>
      </c>
      <c r="N225">
        <v>825757</v>
      </c>
    </row>
    <row r="226" spans="1:14">
      <c r="A226" t="s">
        <v>19</v>
      </c>
      <c r="B226" t="s">
        <v>130</v>
      </c>
      <c r="C226" t="s">
        <v>148</v>
      </c>
      <c r="D226">
        <v>27.6999999999999</v>
      </c>
      <c r="E226">
        <v>2.69999999999999</v>
      </c>
      <c r="F226">
        <v>0</v>
      </c>
      <c r="G226">
        <v>25.3</v>
      </c>
      <c r="H226">
        <v>22.7</v>
      </c>
      <c r="I226">
        <v>0</v>
      </c>
      <c r="J226">
        <v>0.3</v>
      </c>
      <c r="K226">
        <v>0</v>
      </c>
      <c r="L226" t="s">
        <v>132</v>
      </c>
      <c r="M226" t="s">
        <v>149</v>
      </c>
      <c r="N226">
        <v>825767</v>
      </c>
    </row>
    <row r="227" spans="1:14">
      <c r="A227" t="s">
        <v>44</v>
      </c>
      <c r="B227" t="s">
        <v>130</v>
      </c>
      <c r="C227" t="s">
        <v>148</v>
      </c>
      <c r="D227">
        <v>2.69999999999999</v>
      </c>
      <c r="E227">
        <v>0</v>
      </c>
      <c r="F227">
        <v>0</v>
      </c>
      <c r="G227">
        <v>5.6</v>
      </c>
      <c r="H227">
        <v>0</v>
      </c>
      <c r="I227">
        <v>0</v>
      </c>
      <c r="J227">
        <v>0.3</v>
      </c>
      <c r="K227">
        <v>0</v>
      </c>
      <c r="L227" t="s">
        <v>138</v>
      </c>
      <c r="M227" t="s">
        <v>149</v>
      </c>
      <c r="N227">
        <v>825817</v>
      </c>
    </row>
    <row r="228" spans="1:14">
      <c r="A228" t="s">
        <v>45</v>
      </c>
      <c r="B228" t="s">
        <v>130</v>
      </c>
      <c r="C228" t="s">
        <v>148</v>
      </c>
      <c r="D228">
        <v>5.3999999999999897</v>
      </c>
      <c r="E228">
        <v>0</v>
      </c>
      <c r="F228">
        <v>0</v>
      </c>
      <c r="G228">
        <v>30.4</v>
      </c>
      <c r="H228">
        <v>0</v>
      </c>
      <c r="I228">
        <v>0</v>
      </c>
      <c r="J228">
        <v>0.3</v>
      </c>
      <c r="K228">
        <v>0</v>
      </c>
      <c r="L228" t="s">
        <v>138</v>
      </c>
      <c r="M228" t="s">
        <v>149</v>
      </c>
      <c r="N228">
        <v>825833</v>
      </c>
    </row>
    <row r="229" spans="1:14">
      <c r="A229" t="s">
        <v>15</v>
      </c>
      <c r="B229" t="s">
        <v>130</v>
      </c>
      <c r="C229" t="s">
        <v>148</v>
      </c>
      <c r="D229">
        <v>27.599999999999898</v>
      </c>
      <c r="E229">
        <v>2.7</v>
      </c>
      <c r="F229">
        <v>0.3</v>
      </c>
      <c r="G229">
        <v>25.4</v>
      </c>
      <c r="H229">
        <v>22.599999999999898</v>
      </c>
      <c r="I229">
        <v>10.199999999999999</v>
      </c>
      <c r="J229">
        <v>0.1</v>
      </c>
      <c r="K229">
        <v>0</v>
      </c>
      <c r="L229" t="s">
        <v>132</v>
      </c>
      <c r="M229" t="s">
        <v>150</v>
      </c>
      <c r="N229">
        <v>825792</v>
      </c>
    </row>
    <row r="230" spans="1:14">
      <c r="A230" t="s">
        <v>15</v>
      </c>
      <c r="B230" t="s">
        <v>130</v>
      </c>
      <c r="C230" t="s">
        <v>148</v>
      </c>
      <c r="D230">
        <v>27.599999999999898</v>
      </c>
      <c r="E230">
        <v>2.7</v>
      </c>
      <c r="F230">
        <v>0.3</v>
      </c>
      <c r="G230">
        <v>25.4</v>
      </c>
      <c r="H230">
        <v>22.599999999999898</v>
      </c>
      <c r="I230">
        <v>10.199999999999999</v>
      </c>
      <c r="J230">
        <v>0.1</v>
      </c>
      <c r="K230">
        <v>0</v>
      </c>
      <c r="L230" t="s">
        <v>132</v>
      </c>
      <c r="M230" t="s">
        <v>150</v>
      </c>
      <c r="N230">
        <v>825805</v>
      </c>
    </row>
    <row r="231" spans="1:14">
      <c r="A231" t="s">
        <v>16</v>
      </c>
      <c r="B231" t="s">
        <v>130</v>
      </c>
      <c r="C231" t="s">
        <v>148</v>
      </c>
      <c r="D231">
        <v>2.69999999999999</v>
      </c>
      <c r="E231">
        <v>0</v>
      </c>
      <c r="F231">
        <v>0</v>
      </c>
      <c r="G231">
        <v>5.6</v>
      </c>
      <c r="H231">
        <v>0</v>
      </c>
      <c r="I231">
        <v>0</v>
      </c>
      <c r="J231">
        <v>0.1</v>
      </c>
      <c r="K231">
        <v>0</v>
      </c>
      <c r="L231" t="s">
        <v>138</v>
      </c>
      <c r="M231" t="s">
        <v>150</v>
      </c>
      <c r="N231">
        <v>825824</v>
      </c>
    </row>
    <row r="232" spans="1:14">
      <c r="A232" t="s">
        <v>18</v>
      </c>
      <c r="B232" t="s">
        <v>130</v>
      </c>
      <c r="C232" t="s">
        <v>148</v>
      </c>
      <c r="D232">
        <v>12.399999999999901</v>
      </c>
      <c r="E232">
        <v>2.7</v>
      </c>
      <c r="F232">
        <v>5.6</v>
      </c>
      <c r="G232">
        <v>2.0999999999999899</v>
      </c>
      <c r="H232">
        <v>0.1</v>
      </c>
      <c r="I232">
        <v>0</v>
      </c>
      <c r="J232">
        <v>1.99999999999999</v>
      </c>
      <c r="K232">
        <v>0</v>
      </c>
      <c r="L232" t="s">
        <v>138</v>
      </c>
      <c r="M232" t="s">
        <v>151</v>
      </c>
      <c r="N232">
        <v>825903</v>
      </c>
    </row>
    <row r="233" spans="1:14">
      <c r="A233" t="s">
        <v>17</v>
      </c>
      <c r="B233" t="s">
        <v>130</v>
      </c>
      <c r="C233" t="s">
        <v>148</v>
      </c>
      <c r="D233">
        <v>5.4999999999999902</v>
      </c>
      <c r="E233">
        <v>0</v>
      </c>
      <c r="F233">
        <v>0</v>
      </c>
      <c r="G233">
        <v>30.599999999999898</v>
      </c>
      <c r="H233">
        <v>0</v>
      </c>
      <c r="I233">
        <v>0</v>
      </c>
      <c r="J233">
        <v>0.1</v>
      </c>
      <c r="K233">
        <v>0</v>
      </c>
      <c r="L233" t="s">
        <v>138</v>
      </c>
      <c r="M233" t="s">
        <v>150</v>
      </c>
      <c r="N233">
        <v>825840</v>
      </c>
    </row>
    <row r="234" spans="1:14">
      <c r="A234" t="s">
        <v>22</v>
      </c>
      <c r="B234" t="s">
        <v>130</v>
      </c>
      <c r="C234" t="s">
        <v>148</v>
      </c>
      <c r="D234">
        <v>4.9999999999999902</v>
      </c>
      <c r="E234">
        <v>0</v>
      </c>
      <c r="F234">
        <v>0</v>
      </c>
      <c r="G234">
        <v>29.999999999999901</v>
      </c>
      <c r="H234">
        <v>0</v>
      </c>
      <c r="I234">
        <v>0</v>
      </c>
      <c r="J234">
        <v>0.3</v>
      </c>
      <c r="K234">
        <v>3.9999999999999898</v>
      </c>
      <c r="L234" t="s">
        <v>138</v>
      </c>
      <c r="M234" t="s">
        <v>152</v>
      </c>
      <c r="N234">
        <v>825849</v>
      </c>
    </row>
    <row r="235" spans="1:14">
      <c r="A235" t="s">
        <v>20</v>
      </c>
      <c r="B235" t="s">
        <v>130</v>
      </c>
      <c r="C235" t="s">
        <v>148</v>
      </c>
      <c r="D235">
        <v>30.399999999999899</v>
      </c>
      <c r="E235">
        <v>0</v>
      </c>
      <c r="F235">
        <v>0</v>
      </c>
      <c r="G235">
        <v>25.299999999999901</v>
      </c>
      <c r="H235">
        <v>0</v>
      </c>
      <c r="I235">
        <v>0</v>
      </c>
      <c r="J235">
        <v>0.3</v>
      </c>
      <c r="K235">
        <v>0</v>
      </c>
      <c r="L235" t="s">
        <v>132</v>
      </c>
      <c r="M235" t="s">
        <v>153</v>
      </c>
      <c r="N235">
        <v>825863</v>
      </c>
    </row>
    <row r="236" spans="1:14">
      <c r="A236" t="s">
        <v>20</v>
      </c>
      <c r="B236" t="s">
        <v>130</v>
      </c>
      <c r="C236" t="s">
        <v>148</v>
      </c>
      <c r="D236">
        <v>30.399999999999899</v>
      </c>
      <c r="E236">
        <v>0</v>
      </c>
      <c r="F236">
        <v>0</v>
      </c>
      <c r="G236">
        <v>25.299999999999901</v>
      </c>
      <c r="H236">
        <v>0</v>
      </c>
      <c r="I236">
        <v>0</v>
      </c>
      <c r="J236">
        <v>0.3</v>
      </c>
      <c r="K236">
        <v>0</v>
      </c>
      <c r="L236" t="s">
        <v>132</v>
      </c>
      <c r="M236" t="s">
        <v>153</v>
      </c>
      <c r="N236">
        <v>825871</v>
      </c>
    </row>
    <row r="237" spans="1:14">
      <c r="A237" t="s">
        <v>21</v>
      </c>
      <c r="B237" t="s">
        <v>130</v>
      </c>
      <c r="C237" t="s">
        <v>148</v>
      </c>
      <c r="D237">
        <v>5.1999999999999904</v>
      </c>
      <c r="E237">
        <v>0</v>
      </c>
      <c r="F237">
        <v>0</v>
      </c>
      <c r="G237">
        <v>30.399999999999899</v>
      </c>
      <c r="H237">
        <v>0</v>
      </c>
      <c r="I237">
        <v>0</v>
      </c>
      <c r="J237">
        <v>0.3</v>
      </c>
      <c r="K237">
        <v>2.65</v>
      </c>
      <c r="L237" t="s">
        <v>138</v>
      </c>
      <c r="M237" t="s">
        <v>153</v>
      </c>
      <c r="N237">
        <v>825856</v>
      </c>
    </row>
    <row r="238" spans="1:14">
      <c r="A238" t="s">
        <v>23</v>
      </c>
      <c r="B238" t="s">
        <v>130</v>
      </c>
      <c r="C238" t="s">
        <v>148</v>
      </c>
      <c r="D238">
        <v>4.7999999999999901</v>
      </c>
      <c r="E238">
        <v>0</v>
      </c>
      <c r="F238">
        <v>0</v>
      </c>
      <c r="G238">
        <v>29.8</v>
      </c>
      <c r="H238">
        <v>0</v>
      </c>
      <c r="I238">
        <v>0</v>
      </c>
      <c r="J238">
        <v>0.1</v>
      </c>
      <c r="K238">
        <v>0</v>
      </c>
      <c r="L238" t="s">
        <v>138</v>
      </c>
      <c r="M238" t="s">
        <v>154</v>
      </c>
      <c r="N238">
        <v>825881</v>
      </c>
    </row>
    <row r="239" spans="1:14">
      <c r="A239" t="s">
        <v>24</v>
      </c>
      <c r="B239" t="s">
        <v>130</v>
      </c>
      <c r="C239" t="s">
        <v>148</v>
      </c>
      <c r="D239">
        <v>4.7999999999999901</v>
      </c>
      <c r="E239">
        <v>0</v>
      </c>
      <c r="F239">
        <v>0</v>
      </c>
      <c r="G239">
        <v>27.099999999999898</v>
      </c>
      <c r="H239">
        <v>0</v>
      </c>
      <c r="I239">
        <v>0</v>
      </c>
      <c r="J239">
        <v>0.1</v>
      </c>
      <c r="K239">
        <v>0</v>
      </c>
      <c r="L239" t="s">
        <v>138</v>
      </c>
      <c r="M239" t="s">
        <v>155</v>
      </c>
      <c r="N239">
        <v>825889</v>
      </c>
    </row>
    <row r="240" spans="1:14">
      <c r="A240" t="s">
        <v>25</v>
      </c>
      <c r="B240" t="s">
        <v>130</v>
      </c>
      <c r="C240" t="s">
        <v>148</v>
      </c>
      <c r="D240">
        <v>4.7999999999999901</v>
      </c>
      <c r="E240">
        <v>0</v>
      </c>
      <c r="F240">
        <v>0</v>
      </c>
      <c r="G240">
        <v>2.2999999999999901</v>
      </c>
      <c r="H240">
        <v>0</v>
      </c>
      <c r="I240">
        <v>0</v>
      </c>
      <c r="J240">
        <v>0.1</v>
      </c>
      <c r="K240">
        <v>0</v>
      </c>
      <c r="L240" t="s">
        <v>138</v>
      </c>
      <c r="M240" t="s">
        <v>156</v>
      </c>
      <c r="N240">
        <v>825897</v>
      </c>
    </row>
    <row r="241" spans="1:14">
      <c r="A241" t="s">
        <v>157</v>
      </c>
      <c r="B241" t="s">
        <v>130</v>
      </c>
      <c r="C241" t="s">
        <v>158</v>
      </c>
      <c r="D241">
        <v>3.8</v>
      </c>
      <c r="E241">
        <v>0</v>
      </c>
      <c r="F241">
        <v>0</v>
      </c>
      <c r="G241">
        <v>0.5</v>
      </c>
      <c r="H241">
        <v>0</v>
      </c>
      <c r="I241">
        <v>0</v>
      </c>
      <c r="J241">
        <v>0.5</v>
      </c>
      <c r="K241">
        <v>0</v>
      </c>
      <c r="L241" t="s">
        <v>132</v>
      </c>
      <c r="M241" t="s">
        <v>158</v>
      </c>
      <c r="N241">
        <v>826104</v>
      </c>
    </row>
    <row r="242" spans="1:14">
      <c r="A242" t="s">
        <v>157</v>
      </c>
      <c r="B242" t="s">
        <v>130</v>
      </c>
      <c r="C242" t="s">
        <v>158</v>
      </c>
      <c r="D242">
        <v>4</v>
      </c>
      <c r="E242">
        <v>0</v>
      </c>
      <c r="F242">
        <v>0</v>
      </c>
      <c r="G242">
        <v>0.5</v>
      </c>
      <c r="H242">
        <v>0</v>
      </c>
      <c r="I242">
        <v>0</v>
      </c>
      <c r="J242">
        <v>0.5</v>
      </c>
      <c r="K242">
        <v>0</v>
      </c>
      <c r="L242" t="s">
        <v>132</v>
      </c>
      <c r="M242" t="s">
        <v>158</v>
      </c>
      <c r="N242">
        <v>826106</v>
      </c>
    </row>
    <row r="243" spans="1:14">
      <c r="A243" t="s">
        <v>157</v>
      </c>
      <c r="B243" t="s">
        <v>130</v>
      </c>
      <c r="C243" t="s">
        <v>158</v>
      </c>
      <c r="D243">
        <v>4</v>
      </c>
      <c r="E243">
        <v>0</v>
      </c>
      <c r="F243">
        <v>0</v>
      </c>
      <c r="G243">
        <v>0.5</v>
      </c>
      <c r="H243">
        <v>0</v>
      </c>
      <c r="I243">
        <v>0</v>
      </c>
      <c r="J243">
        <v>0.5</v>
      </c>
      <c r="K243">
        <v>0</v>
      </c>
      <c r="L243" t="s">
        <v>132</v>
      </c>
      <c r="M243" t="s">
        <v>158</v>
      </c>
      <c r="N243">
        <v>826108</v>
      </c>
    </row>
    <row r="244" spans="1:14">
      <c r="A244" t="s">
        <v>157</v>
      </c>
      <c r="B244" t="s">
        <v>130</v>
      </c>
      <c r="C244" t="s">
        <v>158</v>
      </c>
      <c r="D244">
        <v>4</v>
      </c>
      <c r="E244">
        <v>0</v>
      </c>
      <c r="F244">
        <v>0</v>
      </c>
      <c r="G244">
        <v>0.5</v>
      </c>
      <c r="H244">
        <v>0</v>
      </c>
      <c r="I244">
        <v>0</v>
      </c>
      <c r="J244">
        <v>0.5</v>
      </c>
      <c r="K244">
        <v>0</v>
      </c>
      <c r="L244" t="s">
        <v>132</v>
      </c>
      <c r="M244" t="s">
        <v>158</v>
      </c>
      <c r="N244">
        <v>826110</v>
      </c>
    </row>
    <row r="245" spans="1:14">
      <c r="A245" t="s">
        <v>157</v>
      </c>
      <c r="B245" t="s">
        <v>130</v>
      </c>
      <c r="C245" t="s">
        <v>158</v>
      </c>
      <c r="D245">
        <v>4</v>
      </c>
      <c r="E245">
        <v>0</v>
      </c>
      <c r="F245">
        <v>0</v>
      </c>
      <c r="G245">
        <v>0.5</v>
      </c>
      <c r="H245">
        <v>0</v>
      </c>
      <c r="I245">
        <v>0</v>
      </c>
      <c r="J245">
        <v>0.5</v>
      </c>
      <c r="K245">
        <v>0</v>
      </c>
      <c r="L245" t="s">
        <v>132</v>
      </c>
      <c r="M245" t="s">
        <v>158</v>
      </c>
      <c r="N245">
        <v>826112</v>
      </c>
    </row>
    <row r="246" spans="1:14">
      <c r="A246" t="s">
        <v>157</v>
      </c>
      <c r="B246" t="s">
        <v>130</v>
      </c>
      <c r="C246" t="s">
        <v>158</v>
      </c>
      <c r="D246">
        <v>4</v>
      </c>
      <c r="E246">
        <v>0</v>
      </c>
      <c r="F246">
        <v>0</v>
      </c>
      <c r="G246">
        <v>0.5</v>
      </c>
      <c r="H246">
        <v>0</v>
      </c>
      <c r="I246">
        <v>0</v>
      </c>
      <c r="J246">
        <v>0.5</v>
      </c>
      <c r="K246">
        <v>0</v>
      </c>
      <c r="L246" t="s">
        <v>132</v>
      </c>
      <c r="M246" t="s">
        <v>158</v>
      </c>
      <c r="N246">
        <v>826114</v>
      </c>
    </row>
    <row r="247" spans="1:14">
      <c r="A247" t="s">
        <v>157</v>
      </c>
      <c r="B247" t="s">
        <v>130</v>
      </c>
      <c r="C247" t="s">
        <v>158</v>
      </c>
      <c r="D247">
        <v>3.7999999999999901</v>
      </c>
      <c r="E247">
        <v>0</v>
      </c>
      <c r="F247">
        <v>0</v>
      </c>
      <c r="G247">
        <v>0.5</v>
      </c>
      <c r="H247">
        <v>0</v>
      </c>
      <c r="I247">
        <v>0</v>
      </c>
      <c r="J247">
        <v>0.5</v>
      </c>
      <c r="K247">
        <v>0</v>
      </c>
      <c r="L247" t="s">
        <v>132</v>
      </c>
      <c r="M247" t="s">
        <v>158</v>
      </c>
      <c r="N247">
        <v>826116</v>
      </c>
    </row>
    <row r="248" spans="1:14">
      <c r="A248" t="s">
        <v>157</v>
      </c>
      <c r="B248" t="s">
        <v>130</v>
      </c>
      <c r="C248" t="s">
        <v>158</v>
      </c>
      <c r="D248">
        <v>3.8</v>
      </c>
      <c r="E248">
        <v>0</v>
      </c>
      <c r="F248">
        <v>0</v>
      </c>
      <c r="G248">
        <v>0.5</v>
      </c>
      <c r="H248">
        <v>0</v>
      </c>
      <c r="I248">
        <v>0</v>
      </c>
      <c r="J248">
        <v>0.5</v>
      </c>
      <c r="K248">
        <v>0</v>
      </c>
      <c r="L248" t="s">
        <v>132</v>
      </c>
      <c r="M248" t="s">
        <v>158</v>
      </c>
      <c r="N248">
        <v>826118</v>
      </c>
    </row>
    <row r="249" spans="1:14">
      <c r="A249" t="s">
        <v>157</v>
      </c>
      <c r="B249" t="s">
        <v>130</v>
      </c>
      <c r="C249" t="s">
        <v>158</v>
      </c>
      <c r="D249">
        <v>3.85</v>
      </c>
      <c r="E249">
        <v>0</v>
      </c>
      <c r="F249">
        <v>0</v>
      </c>
      <c r="G249">
        <v>0.5</v>
      </c>
      <c r="H249">
        <v>0</v>
      </c>
      <c r="I249">
        <v>0</v>
      </c>
      <c r="J249">
        <v>0.5</v>
      </c>
      <c r="K249">
        <v>0</v>
      </c>
      <c r="L249" t="s">
        <v>132</v>
      </c>
      <c r="M249" t="s">
        <v>158</v>
      </c>
      <c r="N249">
        <v>826120</v>
      </c>
    </row>
    <row r="250" spans="1:14">
      <c r="A250" t="s">
        <v>157</v>
      </c>
      <c r="B250" t="s">
        <v>130</v>
      </c>
      <c r="C250" t="s">
        <v>158</v>
      </c>
      <c r="D250">
        <v>3.8499999999999899</v>
      </c>
      <c r="E250">
        <v>0</v>
      </c>
      <c r="F250">
        <v>0</v>
      </c>
      <c r="G250">
        <v>0.5</v>
      </c>
      <c r="H250">
        <v>0</v>
      </c>
      <c r="I250">
        <v>0</v>
      </c>
      <c r="J250">
        <v>0.5</v>
      </c>
      <c r="K250">
        <v>0</v>
      </c>
      <c r="L250" t="s">
        <v>132</v>
      </c>
      <c r="M250" t="s">
        <v>158</v>
      </c>
      <c r="N250">
        <v>826122</v>
      </c>
    </row>
    <row r="251" spans="1:14">
      <c r="A251" t="s">
        <v>157</v>
      </c>
      <c r="B251" t="s">
        <v>130</v>
      </c>
      <c r="C251" t="s">
        <v>158</v>
      </c>
      <c r="D251">
        <v>3.8499999999999899</v>
      </c>
      <c r="E251">
        <v>0</v>
      </c>
      <c r="F251">
        <v>0</v>
      </c>
      <c r="G251">
        <v>0.5</v>
      </c>
      <c r="H251">
        <v>0</v>
      </c>
      <c r="I251">
        <v>0</v>
      </c>
      <c r="J251">
        <v>0.5</v>
      </c>
      <c r="K251">
        <v>0</v>
      </c>
      <c r="L251" t="s">
        <v>132</v>
      </c>
      <c r="M251" t="s">
        <v>158</v>
      </c>
      <c r="N251">
        <v>826124</v>
      </c>
    </row>
    <row r="252" spans="1:14">
      <c r="A252" t="s">
        <v>157</v>
      </c>
      <c r="B252" t="s">
        <v>130</v>
      </c>
      <c r="C252" t="s">
        <v>158</v>
      </c>
      <c r="D252">
        <v>3.85</v>
      </c>
      <c r="E252">
        <v>0</v>
      </c>
      <c r="F252">
        <v>0</v>
      </c>
      <c r="G252">
        <v>0.5</v>
      </c>
      <c r="H252">
        <v>0</v>
      </c>
      <c r="I252">
        <v>0</v>
      </c>
      <c r="J252">
        <v>0.5</v>
      </c>
      <c r="K252">
        <v>0</v>
      </c>
      <c r="L252" t="s">
        <v>132</v>
      </c>
      <c r="M252" t="s">
        <v>158</v>
      </c>
      <c r="N252">
        <v>826126</v>
      </c>
    </row>
    <row r="253" spans="1:14">
      <c r="A253" t="s">
        <v>157</v>
      </c>
      <c r="B253" t="s">
        <v>130</v>
      </c>
      <c r="C253" t="s">
        <v>158</v>
      </c>
      <c r="D253">
        <v>3.8</v>
      </c>
      <c r="E253">
        <v>0</v>
      </c>
      <c r="F253">
        <v>0</v>
      </c>
      <c r="G253">
        <v>0.5</v>
      </c>
      <c r="H253">
        <v>0</v>
      </c>
      <c r="I253">
        <v>0</v>
      </c>
      <c r="J253">
        <v>0.5</v>
      </c>
      <c r="K253">
        <v>0</v>
      </c>
      <c r="L253" t="s">
        <v>132</v>
      </c>
      <c r="M253" t="s">
        <v>158</v>
      </c>
      <c r="N253">
        <v>826128</v>
      </c>
    </row>
    <row r="254" spans="1:14">
      <c r="A254" t="s">
        <v>157</v>
      </c>
      <c r="B254" t="s">
        <v>130</v>
      </c>
      <c r="C254" t="s">
        <v>158</v>
      </c>
      <c r="D254">
        <v>3.8</v>
      </c>
      <c r="E254">
        <v>0</v>
      </c>
      <c r="F254">
        <v>0</v>
      </c>
      <c r="G254">
        <v>0.5</v>
      </c>
      <c r="H254">
        <v>0</v>
      </c>
      <c r="I254">
        <v>0</v>
      </c>
      <c r="J254">
        <v>0.5</v>
      </c>
      <c r="K254">
        <v>0</v>
      </c>
      <c r="L254" t="s">
        <v>132</v>
      </c>
      <c r="M254" t="s">
        <v>158</v>
      </c>
      <c r="N254">
        <v>826130</v>
      </c>
    </row>
    <row r="255" spans="1:14">
      <c r="A255" t="s">
        <v>157</v>
      </c>
      <c r="B255" t="s">
        <v>130</v>
      </c>
      <c r="C255" t="s">
        <v>158</v>
      </c>
      <c r="D255">
        <v>4</v>
      </c>
      <c r="E255">
        <v>0</v>
      </c>
      <c r="F255">
        <v>0</v>
      </c>
      <c r="G255">
        <v>0.5</v>
      </c>
      <c r="H255">
        <v>0</v>
      </c>
      <c r="I255">
        <v>0</v>
      </c>
      <c r="J255">
        <v>0.5</v>
      </c>
      <c r="K255">
        <v>0</v>
      </c>
      <c r="L255" t="s">
        <v>132</v>
      </c>
      <c r="M255" t="s">
        <v>158</v>
      </c>
      <c r="N255">
        <v>826132</v>
      </c>
    </row>
    <row r="256" spans="1:14">
      <c r="A256" t="s">
        <v>157</v>
      </c>
      <c r="B256" t="s">
        <v>130</v>
      </c>
      <c r="C256" t="s">
        <v>158</v>
      </c>
      <c r="D256">
        <v>3.9999999999999898</v>
      </c>
      <c r="E256">
        <v>0</v>
      </c>
      <c r="F256">
        <v>0</v>
      </c>
      <c r="G256">
        <v>0.5</v>
      </c>
      <c r="H256">
        <v>0</v>
      </c>
      <c r="I256">
        <v>0</v>
      </c>
      <c r="J256">
        <v>0.5</v>
      </c>
      <c r="K256">
        <v>0</v>
      </c>
      <c r="L256" t="s">
        <v>132</v>
      </c>
      <c r="M256" t="s">
        <v>158</v>
      </c>
      <c r="N256">
        <v>826134</v>
      </c>
    </row>
    <row r="257" spans="1:14">
      <c r="A257" t="s">
        <v>157</v>
      </c>
      <c r="B257" t="s">
        <v>130</v>
      </c>
      <c r="C257" t="s">
        <v>158</v>
      </c>
      <c r="D257">
        <v>4</v>
      </c>
      <c r="E257">
        <v>0</v>
      </c>
      <c r="F257">
        <v>0</v>
      </c>
      <c r="G257">
        <v>0.5</v>
      </c>
      <c r="H257">
        <v>0</v>
      </c>
      <c r="I257">
        <v>0</v>
      </c>
      <c r="J257">
        <v>0.5</v>
      </c>
      <c r="K257">
        <v>0</v>
      </c>
      <c r="L257" t="s">
        <v>132</v>
      </c>
      <c r="M257" t="s">
        <v>158</v>
      </c>
      <c r="N257">
        <v>826136</v>
      </c>
    </row>
    <row r="258" spans="1:14">
      <c r="A258" t="s">
        <v>157</v>
      </c>
      <c r="B258" t="s">
        <v>130</v>
      </c>
      <c r="C258" t="s">
        <v>158</v>
      </c>
      <c r="D258">
        <v>4</v>
      </c>
      <c r="E258">
        <v>0</v>
      </c>
      <c r="F258">
        <v>0</v>
      </c>
      <c r="G258">
        <v>0.5</v>
      </c>
      <c r="H258">
        <v>0</v>
      </c>
      <c r="I258">
        <v>0</v>
      </c>
      <c r="J258">
        <v>0.5</v>
      </c>
      <c r="K258">
        <v>0</v>
      </c>
      <c r="L258" t="s">
        <v>132</v>
      </c>
      <c r="M258" t="s">
        <v>158</v>
      </c>
      <c r="N258">
        <v>826138</v>
      </c>
    </row>
    <row r="259" spans="1:14">
      <c r="A259" t="s">
        <v>157</v>
      </c>
      <c r="B259" t="s">
        <v>130</v>
      </c>
      <c r="C259" t="s">
        <v>158</v>
      </c>
      <c r="D259">
        <v>4</v>
      </c>
      <c r="E259">
        <v>0</v>
      </c>
      <c r="F259">
        <v>0</v>
      </c>
      <c r="G259">
        <v>0.5</v>
      </c>
      <c r="H259">
        <v>0</v>
      </c>
      <c r="I259">
        <v>0</v>
      </c>
      <c r="J259">
        <v>0.5</v>
      </c>
      <c r="K259">
        <v>0</v>
      </c>
      <c r="L259" t="s">
        <v>132</v>
      </c>
      <c r="M259" t="s">
        <v>158</v>
      </c>
      <c r="N259">
        <v>826140</v>
      </c>
    </row>
    <row r="260" spans="1:14">
      <c r="A260" t="s">
        <v>157</v>
      </c>
      <c r="B260" t="s">
        <v>130</v>
      </c>
      <c r="C260" t="s">
        <v>158</v>
      </c>
      <c r="D260">
        <v>3.7999999999999901</v>
      </c>
      <c r="E260">
        <v>0</v>
      </c>
      <c r="F260">
        <v>0</v>
      </c>
      <c r="G260">
        <v>0.5</v>
      </c>
      <c r="H260">
        <v>0</v>
      </c>
      <c r="I260">
        <v>0</v>
      </c>
      <c r="J260">
        <v>0.5</v>
      </c>
      <c r="K260">
        <v>0</v>
      </c>
      <c r="L260" t="s">
        <v>132</v>
      </c>
      <c r="M260" t="s">
        <v>158</v>
      </c>
      <c r="N260">
        <v>826142</v>
      </c>
    </row>
    <row r="261" spans="1:14">
      <c r="A261" t="s">
        <v>157</v>
      </c>
      <c r="B261" t="s">
        <v>130</v>
      </c>
      <c r="C261" t="s">
        <v>158</v>
      </c>
      <c r="D261">
        <v>3.8</v>
      </c>
      <c r="E261">
        <v>0</v>
      </c>
      <c r="F261">
        <v>0</v>
      </c>
      <c r="G261">
        <v>0.5</v>
      </c>
      <c r="H261">
        <v>0</v>
      </c>
      <c r="I261">
        <v>0</v>
      </c>
      <c r="J261">
        <v>0.5</v>
      </c>
      <c r="K261">
        <v>0</v>
      </c>
      <c r="L261" t="s">
        <v>132</v>
      </c>
      <c r="M261" t="s">
        <v>158</v>
      </c>
      <c r="N261">
        <v>826144</v>
      </c>
    </row>
    <row r="262" spans="1:14">
      <c r="A262" t="s">
        <v>157</v>
      </c>
      <c r="B262" t="s">
        <v>130</v>
      </c>
      <c r="C262" t="s">
        <v>158</v>
      </c>
      <c r="D262">
        <v>3.85</v>
      </c>
      <c r="E262">
        <v>0</v>
      </c>
      <c r="F262">
        <v>0</v>
      </c>
      <c r="G262">
        <v>0.5</v>
      </c>
      <c r="H262">
        <v>0</v>
      </c>
      <c r="I262">
        <v>0</v>
      </c>
      <c r="J262">
        <v>0.5</v>
      </c>
      <c r="K262">
        <v>0</v>
      </c>
      <c r="L262" t="s">
        <v>132</v>
      </c>
      <c r="M262" t="s">
        <v>158</v>
      </c>
      <c r="N262">
        <v>826146</v>
      </c>
    </row>
    <row r="263" spans="1:14">
      <c r="A263" t="s">
        <v>157</v>
      </c>
      <c r="B263" t="s">
        <v>130</v>
      </c>
      <c r="C263" t="s">
        <v>158</v>
      </c>
      <c r="D263">
        <v>3.8499999999999899</v>
      </c>
      <c r="E263">
        <v>0</v>
      </c>
      <c r="F263">
        <v>0</v>
      </c>
      <c r="G263">
        <v>0.5</v>
      </c>
      <c r="H263">
        <v>0</v>
      </c>
      <c r="I263">
        <v>0</v>
      </c>
      <c r="J263">
        <v>0.5</v>
      </c>
      <c r="K263">
        <v>0</v>
      </c>
      <c r="L263" t="s">
        <v>132</v>
      </c>
      <c r="M263" t="s">
        <v>158</v>
      </c>
      <c r="N263">
        <v>826148</v>
      </c>
    </row>
    <row r="264" spans="1:14">
      <c r="A264" t="s">
        <v>157</v>
      </c>
      <c r="B264" t="s">
        <v>130</v>
      </c>
      <c r="C264" t="s">
        <v>158</v>
      </c>
      <c r="D264">
        <v>3.8499999999999899</v>
      </c>
      <c r="E264">
        <v>0</v>
      </c>
      <c r="F264">
        <v>0</v>
      </c>
      <c r="G264">
        <v>0.5</v>
      </c>
      <c r="H264">
        <v>0</v>
      </c>
      <c r="I264">
        <v>0</v>
      </c>
      <c r="J264">
        <v>0.5</v>
      </c>
      <c r="K264">
        <v>0</v>
      </c>
      <c r="L264" t="s">
        <v>132</v>
      </c>
      <c r="M264" t="s">
        <v>158</v>
      </c>
      <c r="N264">
        <v>826150</v>
      </c>
    </row>
    <row r="265" spans="1:14">
      <c r="A265" t="s">
        <v>157</v>
      </c>
      <c r="B265" t="s">
        <v>130</v>
      </c>
      <c r="C265" t="s">
        <v>158</v>
      </c>
      <c r="D265">
        <v>3.8499999999999899</v>
      </c>
      <c r="E265">
        <v>0</v>
      </c>
      <c r="F265">
        <v>0</v>
      </c>
      <c r="G265">
        <v>0.5</v>
      </c>
      <c r="H265">
        <v>0</v>
      </c>
      <c r="I265">
        <v>0</v>
      </c>
      <c r="J265">
        <v>0.5</v>
      </c>
      <c r="K265">
        <v>0</v>
      </c>
      <c r="L265" t="s">
        <v>132</v>
      </c>
      <c r="M265" t="s">
        <v>158</v>
      </c>
      <c r="N265">
        <v>826152</v>
      </c>
    </row>
    <row r="266" spans="1:14">
      <c r="A266" t="s">
        <v>157</v>
      </c>
      <c r="B266" t="s">
        <v>130</v>
      </c>
      <c r="C266" t="s">
        <v>158</v>
      </c>
      <c r="D266">
        <v>3.8</v>
      </c>
      <c r="E266">
        <v>0</v>
      </c>
      <c r="F266">
        <v>0</v>
      </c>
      <c r="G266">
        <v>0.5</v>
      </c>
      <c r="H266">
        <v>0</v>
      </c>
      <c r="I266">
        <v>0</v>
      </c>
      <c r="J266">
        <v>0.5</v>
      </c>
      <c r="K266">
        <v>0</v>
      </c>
      <c r="L266" t="s">
        <v>132</v>
      </c>
      <c r="M266" t="s">
        <v>158</v>
      </c>
      <c r="N266">
        <v>826154</v>
      </c>
    </row>
    <row r="267" spans="1:14">
      <c r="A267" t="s">
        <v>157</v>
      </c>
      <c r="B267" t="s">
        <v>130</v>
      </c>
      <c r="C267" t="s">
        <v>158</v>
      </c>
      <c r="D267">
        <v>3.8</v>
      </c>
      <c r="E267">
        <v>0</v>
      </c>
      <c r="F267">
        <v>0</v>
      </c>
      <c r="G267">
        <v>0.5</v>
      </c>
      <c r="H267">
        <v>0</v>
      </c>
      <c r="I267">
        <v>0</v>
      </c>
      <c r="J267">
        <v>0.5</v>
      </c>
      <c r="K267">
        <v>0</v>
      </c>
      <c r="L267" t="s">
        <v>132</v>
      </c>
      <c r="M267" t="s">
        <v>158</v>
      </c>
      <c r="N267">
        <v>826417</v>
      </c>
    </row>
    <row r="268" spans="1:14">
      <c r="A268" t="s">
        <v>157</v>
      </c>
      <c r="B268" t="s">
        <v>130</v>
      </c>
      <c r="C268" t="s">
        <v>158</v>
      </c>
      <c r="D268">
        <v>4</v>
      </c>
      <c r="E268">
        <v>0</v>
      </c>
      <c r="F268">
        <v>0</v>
      </c>
      <c r="G268">
        <v>0.5</v>
      </c>
      <c r="H268">
        <v>0</v>
      </c>
      <c r="I268">
        <v>0</v>
      </c>
      <c r="J268">
        <v>0.5</v>
      </c>
      <c r="K268">
        <v>0</v>
      </c>
      <c r="L268" t="s">
        <v>132</v>
      </c>
      <c r="M268" t="s">
        <v>158</v>
      </c>
      <c r="N268">
        <v>826419</v>
      </c>
    </row>
    <row r="269" spans="1:14">
      <c r="A269" t="s">
        <v>157</v>
      </c>
      <c r="B269" t="s">
        <v>130</v>
      </c>
      <c r="C269" t="s">
        <v>158</v>
      </c>
      <c r="D269">
        <v>4</v>
      </c>
      <c r="E269">
        <v>0</v>
      </c>
      <c r="F269">
        <v>0</v>
      </c>
      <c r="G269">
        <v>0.5</v>
      </c>
      <c r="H269">
        <v>0</v>
      </c>
      <c r="I269">
        <v>0</v>
      </c>
      <c r="J269">
        <v>0.5</v>
      </c>
      <c r="K269">
        <v>0</v>
      </c>
      <c r="L269" t="s">
        <v>132</v>
      </c>
      <c r="M269" t="s">
        <v>158</v>
      </c>
      <c r="N269">
        <v>826421</v>
      </c>
    </row>
    <row r="270" spans="1:14">
      <c r="A270" t="s">
        <v>157</v>
      </c>
      <c r="B270" t="s">
        <v>130</v>
      </c>
      <c r="C270" t="s">
        <v>158</v>
      </c>
      <c r="D270">
        <v>4</v>
      </c>
      <c r="E270">
        <v>0</v>
      </c>
      <c r="F270">
        <v>0</v>
      </c>
      <c r="G270">
        <v>0.5</v>
      </c>
      <c r="H270">
        <v>0</v>
      </c>
      <c r="I270">
        <v>0</v>
      </c>
      <c r="J270">
        <v>0.5</v>
      </c>
      <c r="K270">
        <v>0</v>
      </c>
      <c r="L270" t="s">
        <v>132</v>
      </c>
      <c r="M270" t="s">
        <v>158</v>
      </c>
      <c r="N270">
        <v>826423</v>
      </c>
    </row>
    <row r="271" spans="1:14">
      <c r="A271" t="s">
        <v>157</v>
      </c>
      <c r="B271" t="s">
        <v>130</v>
      </c>
      <c r="C271" t="s">
        <v>158</v>
      </c>
      <c r="D271">
        <v>4</v>
      </c>
      <c r="E271">
        <v>0</v>
      </c>
      <c r="F271">
        <v>0</v>
      </c>
      <c r="G271">
        <v>0.5</v>
      </c>
      <c r="H271">
        <v>0</v>
      </c>
      <c r="I271">
        <v>0</v>
      </c>
      <c r="J271">
        <v>0.5</v>
      </c>
      <c r="K271">
        <v>0</v>
      </c>
      <c r="L271" t="s">
        <v>132</v>
      </c>
      <c r="M271" t="s">
        <v>158</v>
      </c>
      <c r="N271">
        <v>826425</v>
      </c>
    </row>
    <row r="272" spans="1:14">
      <c r="A272" t="s">
        <v>157</v>
      </c>
      <c r="B272" t="s">
        <v>130</v>
      </c>
      <c r="C272" t="s">
        <v>158</v>
      </c>
      <c r="D272">
        <v>4</v>
      </c>
      <c r="E272">
        <v>0</v>
      </c>
      <c r="F272">
        <v>0</v>
      </c>
      <c r="G272">
        <v>0.5</v>
      </c>
      <c r="H272">
        <v>0</v>
      </c>
      <c r="I272">
        <v>0</v>
      </c>
      <c r="J272">
        <v>0.5</v>
      </c>
      <c r="K272">
        <v>0</v>
      </c>
      <c r="L272" t="s">
        <v>132</v>
      </c>
      <c r="M272" t="s">
        <v>158</v>
      </c>
      <c r="N272">
        <v>826427</v>
      </c>
    </row>
    <row r="273" spans="1:14">
      <c r="A273" t="s">
        <v>157</v>
      </c>
      <c r="B273" t="s">
        <v>130</v>
      </c>
      <c r="C273" t="s">
        <v>158</v>
      </c>
      <c r="D273">
        <v>3.7999999999999901</v>
      </c>
      <c r="E273">
        <v>0</v>
      </c>
      <c r="F273">
        <v>0</v>
      </c>
      <c r="G273">
        <v>0.5</v>
      </c>
      <c r="H273">
        <v>0</v>
      </c>
      <c r="I273">
        <v>0</v>
      </c>
      <c r="J273">
        <v>0.5</v>
      </c>
      <c r="K273">
        <v>0</v>
      </c>
      <c r="L273" t="s">
        <v>132</v>
      </c>
      <c r="M273" t="s">
        <v>158</v>
      </c>
      <c r="N273">
        <v>826429</v>
      </c>
    </row>
    <row r="274" spans="1:14">
      <c r="A274" t="s">
        <v>157</v>
      </c>
      <c r="B274" t="s">
        <v>130</v>
      </c>
      <c r="C274" t="s">
        <v>158</v>
      </c>
      <c r="D274">
        <v>3.8</v>
      </c>
      <c r="E274">
        <v>0</v>
      </c>
      <c r="F274">
        <v>0</v>
      </c>
      <c r="G274">
        <v>0.5</v>
      </c>
      <c r="H274">
        <v>0</v>
      </c>
      <c r="I274">
        <v>0</v>
      </c>
      <c r="J274">
        <v>0.5</v>
      </c>
      <c r="K274">
        <v>0</v>
      </c>
      <c r="L274" t="s">
        <v>132</v>
      </c>
      <c r="M274" t="s">
        <v>158</v>
      </c>
      <c r="N274">
        <v>826431</v>
      </c>
    </row>
    <row r="275" spans="1:14">
      <c r="A275" t="s">
        <v>157</v>
      </c>
      <c r="B275" t="s">
        <v>130</v>
      </c>
      <c r="C275" t="s">
        <v>158</v>
      </c>
      <c r="D275">
        <v>3.85</v>
      </c>
      <c r="E275">
        <v>0</v>
      </c>
      <c r="F275">
        <v>0</v>
      </c>
      <c r="G275">
        <v>0.5</v>
      </c>
      <c r="H275">
        <v>0</v>
      </c>
      <c r="I275">
        <v>0</v>
      </c>
      <c r="J275">
        <v>0.5</v>
      </c>
      <c r="K275">
        <v>0</v>
      </c>
      <c r="L275" t="s">
        <v>132</v>
      </c>
      <c r="M275" t="s">
        <v>158</v>
      </c>
      <c r="N275">
        <v>826433</v>
      </c>
    </row>
    <row r="276" spans="1:14">
      <c r="A276" t="s">
        <v>157</v>
      </c>
      <c r="B276" t="s">
        <v>130</v>
      </c>
      <c r="C276" t="s">
        <v>158</v>
      </c>
      <c r="D276">
        <v>3.8499999999999899</v>
      </c>
      <c r="E276">
        <v>0</v>
      </c>
      <c r="F276">
        <v>0</v>
      </c>
      <c r="G276">
        <v>0.5</v>
      </c>
      <c r="H276">
        <v>0</v>
      </c>
      <c r="I276">
        <v>0</v>
      </c>
      <c r="J276">
        <v>0.5</v>
      </c>
      <c r="K276">
        <v>0</v>
      </c>
      <c r="L276" t="s">
        <v>132</v>
      </c>
      <c r="M276" t="s">
        <v>158</v>
      </c>
      <c r="N276">
        <v>826435</v>
      </c>
    </row>
    <row r="277" spans="1:14">
      <c r="A277" t="s">
        <v>157</v>
      </c>
      <c r="B277" t="s">
        <v>130</v>
      </c>
      <c r="C277" t="s">
        <v>158</v>
      </c>
      <c r="D277">
        <v>3.8499999999999899</v>
      </c>
      <c r="E277">
        <v>0</v>
      </c>
      <c r="F277">
        <v>0</v>
      </c>
      <c r="G277">
        <v>0.5</v>
      </c>
      <c r="H277">
        <v>0</v>
      </c>
      <c r="I277">
        <v>0</v>
      </c>
      <c r="J277">
        <v>0.5</v>
      </c>
      <c r="K277">
        <v>0</v>
      </c>
      <c r="L277" t="s">
        <v>132</v>
      </c>
      <c r="M277" t="s">
        <v>158</v>
      </c>
      <c r="N277">
        <v>826437</v>
      </c>
    </row>
    <row r="278" spans="1:14">
      <c r="A278" t="s">
        <v>157</v>
      </c>
      <c r="B278" t="s">
        <v>130</v>
      </c>
      <c r="C278" t="s">
        <v>158</v>
      </c>
      <c r="D278">
        <v>3.85</v>
      </c>
      <c r="E278">
        <v>0</v>
      </c>
      <c r="F278">
        <v>0</v>
      </c>
      <c r="G278">
        <v>0.5</v>
      </c>
      <c r="H278">
        <v>0</v>
      </c>
      <c r="I278">
        <v>0</v>
      </c>
      <c r="J278">
        <v>0.5</v>
      </c>
      <c r="K278">
        <v>0</v>
      </c>
      <c r="L278" t="s">
        <v>132</v>
      </c>
      <c r="M278" t="s">
        <v>158</v>
      </c>
      <c r="N278">
        <v>826439</v>
      </c>
    </row>
    <row r="279" spans="1:14">
      <c r="A279" t="s">
        <v>157</v>
      </c>
      <c r="B279" t="s">
        <v>130</v>
      </c>
      <c r="C279" t="s">
        <v>158</v>
      </c>
      <c r="D279">
        <v>3.8</v>
      </c>
      <c r="E279">
        <v>0</v>
      </c>
      <c r="F279">
        <v>0</v>
      </c>
      <c r="G279">
        <v>0.5</v>
      </c>
      <c r="H279">
        <v>0</v>
      </c>
      <c r="I279">
        <v>0</v>
      </c>
      <c r="J279">
        <v>0.5</v>
      </c>
      <c r="K279">
        <v>0</v>
      </c>
      <c r="L279" t="s">
        <v>132</v>
      </c>
      <c r="M279" t="s">
        <v>158</v>
      </c>
      <c r="N279">
        <v>826441</v>
      </c>
    </row>
    <row r="280" spans="1:14">
      <c r="A280" t="s">
        <v>157</v>
      </c>
      <c r="B280" t="s">
        <v>130</v>
      </c>
      <c r="C280" t="s">
        <v>158</v>
      </c>
      <c r="D280">
        <v>3.8</v>
      </c>
      <c r="E280">
        <v>0</v>
      </c>
      <c r="F280">
        <v>0</v>
      </c>
      <c r="G280">
        <v>0.5</v>
      </c>
      <c r="H280">
        <v>0</v>
      </c>
      <c r="I280">
        <v>0</v>
      </c>
      <c r="J280">
        <v>0.5</v>
      </c>
      <c r="K280">
        <v>0</v>
      </c>
      <c r="L280" t="s">
        <v>132</v>
      </c>
      <c r="M280" t="s">
        <v>158</v>
      </c>
      <c r="N280">
        <v>826443</v>
      </c>
    </row>
    <row r="281" spans="1:14">
      <c r="A281" t="s">
        <v>157</v>
      </c>
      <c r="B281" t="s">
        <v>130</v>
      </c>
      <c r="C281" t="s">
        <v>158</v>
      </c>
      <c r="D281">
        <v>4</v>
      </c>
      <c r="E281">
        <v>0</v>
      </c>
      <c r="F281">
        <v>0</v>
      </c>
      <c r="G281">
        <v>0.5</v>
      </c>
      <c r="H281">
        <v>0</v>
      </c>
      <c r="I281">
        <v>0</v>
      </c>
      <c r="J281">
        <v>0.5</v>
      </c>
      <c r="K281">
        <v>0</v>
      </c>
      <c r="L281" t="s">
        <v>132</v>
      </c>
      <c r="M281" t="s">
        <v>158</v>
      </c>
      <c r="N281">
        <v>826445</v>
      </c>
    </row>
    <row r="282" spans="1:14">
      <c r="A282" t="s">
        <v>157</v>
      </c>
      <c r="B282" t="s">
        <v>130</v>
      </c>
      <c r="C282" t="s">
        <v>158</v>
      </c>
      <c r="D282">
        <v>3.9999999999999898</v>
      </c>
      <c r="E282">
        <v>0</v>
      </c>
      <c r="F282">
        <v>0</v>
      </c>
      <c r="G282">
        <v>0.5</v>
      </c>
      <c r="H282">
        <v>0</v>
      </c>
      <c r="I282">
        <v>0</v>
      </c>
      <c r="J282">
        <v>0.5</v>
      </c>
      <c r="K282">
        <v>0</v>
      </c>
      <c r="L282" t="s">
        <v>132</v>
      </c>
      <c r="M282" t="s">
        <v>158</v>
      </c>
      <c r="N282">
        <v>826447</v>
      </c>
    </row>
    <row r="283" spans="1:14">
      <c r="A283" t="s">
        <v>157</v>
      </c>
      <c r="B283" t="s">
        <v>130</v>
      </c>
      <c r="C283" t="s">
        <v>158</v>
      </c>
      <c r="D283">
        <v>4</v>
      </c>
      <c r="E283">
        <v>0</v>
      </c>
      <c r="F283">
        <v>0</v>
      </c>
      <c r="G283">
        <v>0.5</v>
      </c>
      <c r="H283">
        <v>0</v>
      </c>
      <c r="I283">
        <v>0</v>
      </c>
      <c r="J283">
        <v>0.5</v>
      </c>
      <c r="K283">
        <v>0</v>
      </c>
      <c r="L283" t="s">
        <v>132</v>
      </c>
      <c r="M283" t="s">
        <v>158</v>
      </c>
      <c r="N283">
        <v>826449</v>
      </c>
    </row>
    <row r="284" spans="1:14">
      <c r="A284" t="s">
        <v>157</v>
      </c>
      <c r="B284" t="s">
        <v>130</v>
      </c>
      <c r="C284" t="s">
        <v>158</v>
      </c>
      <c r="D284">
        <v>4</v>
      </c>
      <c r="E284">
        <v>0</v>
      </c>
      <c r="F284">
        <v>0</v>
      </c>
      <c r="G284">
        <v>0.5</v>
      </c>
      <c r="H284">
        <v>0</v>
      </c>
      <c r="I284">
        <v>0</v>
      </c>
      <c r="J284">
        <v>0.5</v>
      </c>
      <c r="K284">
        <v>0</v>
      </c>
      <c r="L284" t="s">
        <v>132</v>
      </c>
      <c r="M284" t="s">
        <v>158</v>
      </c>
      <c r="N284">
        <v>826451</v>
      </c>
    </row>
    <row r="285" spans="1:14">
      <c r="A285" t="s">
        <v>157</v>
      </c>
      <c r="B285" t="s">
        <v>130</v>
      </c>
      <c r="C285" t="s">
        <v>158</v>
      </c>
      <c r="D285">
        <v>4</v>
      </c>
      <c r="E285">
        <v>0</v>
      </c>
      <c r="F285">
        <v>0</v>
      </c>
      <c r="G285">
        <v>0.5</v>
      </c>
      <c r="H285">
        <v>0</v>
      </c>
      <c r="I285">
        <v>0</v>
      </c>
      <c r="J285">
        <v>0.5</v>
      </c>
      <c r="K285">
        <v>0</v>
      </c>
      <c r="L285" t="s">
        <v>132</v>
      </c>
      <c r="M285" t="s">
        <v>158</v>
      </c>
      <c r="N285">
        <v>826453</v>
      </c>
    </row>
    <row r="286" spans="1:14">
      <c r="A286" t="s">
        <v>157</v>
      </c>
      <c r="B286" t="s">
        <v>130</v>
      </c>
      <c r="C286" t="s">
        <v>158</v>
      </c>
      <c r="D286">
        <v>3.7999999999999901</v>
      </c>
      <c r="E286">
        <v>0</v>
      </c>
      <c r="F286">
        <v>0</v>
      </c>
      <c r="G286">
        <v>0.5</v>
      </c>
      <c r="H286">
        <v>0</v>
      </c>
      <c r="I286">
        <v>0</v>
      </c>
      <c r="J286">
        <v>0.5</v>
      </c>
      <c r="K286">
        <v>0</v>
      </c>
      <c r="L286" t="s">
        <v>132</v>
      </c>
      <c r="M286" t="s">
        <v>158</v>
      </c>
      <c r="N286">
        <v>826455</v>
      </c>
    </row>
    <row r="287" spans="1:14">
      <c r="A287" t="s">
        <v>157</v>
      </c>
      <c r="B287" t="s">
        <v>130</v>
      </c>
      <c r="C287" t="s">
        <v>158</v>
      </c>
      <c r="D287">
        <v>3.8</v>
      </c>
      <c r="E287">
        <v>0</v>
      </c>
      <c r="F287">
        <v>0</v>
      </c>
      <c r="G287">
        <v>0.5</v>
      </c>
      <c r="H287">
        <v>0</v>
      </c>
      <c r="I287">
        <v>0</v>
      </c>
      <c r="J287">
        <v>0.5</v>
      </c>
      <c r="K287">
        <v>0</v>
      </c>
      <c r="L287" t="s">
        <v>132</v>
      </c>
      <c r="M287" t="s">
        <v>158</v>
      </c>
      <c r="N287">
        <v>826457</v>
      </c>
    </row>
    <row r="288" spans="1:14">
      <c r="A288" t="s">
        <v>157</v>
      </c>
      <c r="B288" t="s">
        <v>130</v>
      </c>
      <c r="C288" t="s">
        <v>158</v>
      </c>
      <c r="D288">
        <v>3.85</v>
      </c>
      <c r="E288">
        <v>0</v>
      </c>
      <c r="F288">
        <v>0</v>
      </c>
      <c r="G288">
        <v>0.5</v>
      </c>
      <c r="H288">
        <v>0</v>
      </c>
      <c r="I288">
        <v>0</v>
      </c>
      <c r="J288">
        <v>0.5</v>
      </c>
      <c r="K288">
        <v>0</v>
      </c>
      <c r="L288" t="s">
        <v>132</v>
      </c>
      <c r="M288" t="s">
        <v>158</v>
      </c>
      <c r="N288">
        <v>826459</v>
      </c>
    </row>
    <row r="289" spans="1:14">
      <c r="A289" t="s">
        <v>157</v>
      </c>
      <c r="B289" t="s">
        <v>130</v>
      </c>
      <c r="C289" t="s">
        <v>158</v>
      </c>
      <c r="D289">
        <v>3.8499999999999899</v>
      </c>
      <c r="E289">
        <v>0</v>
      </c>
      <c r="F289">
        <v>0</v>
      </c>
      <c r="G289">
        <v>0.5</v>
      </c>
      <c r="H289">
        <v>0</v>
      </c>
      <c r="I289">
        <v>0</v>
      </c>
      <c r="J289">
        <v>0.5</v>
      </c>
      <c r="K289">
        <v>0</v>
      </c>
      <c r="L289" t="s">
        <v>132</v>
      </c>
      <c r="M289" t="s">
        <v>158</v>
      </c>
      <c r="N289">
        <v>826461</v>
      </c>
    </row>
    <row r="290" spans="1:14">
      <c r="A290" t="s">
        <v>157</v>
      </c>
      <c r="B290" t="s">
        <v>130</v>
      </c>
      <c r="C290" t="s">
        <v>158</v>
      </c>
      <c r="D290">
        <v>3.8499999999999899</v>
      </c>
      <c r="E290">
        <v>0</v>
      </c>
      <c r="F290">
        <v>0</v>
      </c>
      <c r="G290">
        <v>0.5</v>
      </c>
      <c r="H290">
        <v>0</v>
      </c>
      <c r="I290">
        <v>0</v>
      </c>
      <c r="J290">
        <v>0.5</v>
      </c>
      <c r="K290">
        <v>0</v>
      </c>
      <c r="L290" t="s">
        <v>132</v>
      </c>
      <c r="M290" t="s">
        <v>158</v>
      </c>
      <c r="N290">
        <v>826463</v>
      </c>
    </row>
    <row r="291" spans="1:14">
      <c r="A291" t="s">
        <v>157</v>
      </c>
      <c r="B291" t="s">
        <v>130</v>
      </c>
      <c r="C291" t="s">
        <v>158</v>
      </c>
      <c r="D291">
        <v>3.8499999999999899</v>
      </c>
      <c r="E291">
        <v>0</v>
      </c>
      <c r="F291">
        <v>0</v>
      </c>
      <c r="G291">
        <v>0.5</v>
      </c>
      <c r="H291">
        <v>0</v>
      </c>
      <c r="I291">
        <v>0</v>
      </c>
      <c r="J291">
        <v>0.5</v>
      </c>
      <c r="K291">
        <v>0</v>
      </c>
      <c r="L291" t="s">
        <v>132</v>
      </c>
      <c r="M291" t="s">
        <v>158</v>
      </c>
      <c r="N291">
        <v>826465</v>
      </c>
    </row>
    <row r="292" spans="1:14">
      <c r="A292" t="s">
        <v>157</v>
      </c>
      <c r="B292" t="s">
        <v>130</v>
      </c>
      <c r="C292" t="s">
        <v>158</v>
      </c>
      <c r="D292">
        <v>3.8</v>
      </c>
      <c r="E292">
        <v>0</v>
      </c>
      <c r="F292">
        <v>0</v>
      </c>
      <c r="G292">
        <v>0.5</v>
      </c>
      <c r="H292">
        <v>0</v>
      </c>
      <c r="I292">
        <v>0</v>
      </c>
      <c r="J292">
        <v>0.5</v>
      </c>
      <c r="K292">
        <v>0</v>
      </c>
      <c r="L292" t="s">
        <v>132</v>
      </c>
      <c r="M292" t="s">
        <v>158</v>
      </c>
      <c r="N292">
        <v>826467</v>
      </c>
    </row>
    <row r="293" spans="1:14">
      <c r="A293" t="s">
        <v>159</v>
      </c>
      <c r="B293" t="s">
        <v>130</v>
      </c>
      <c r="C293" t="s">
        <v>158</v>
      </c>
      <c r="D293">
        <v>27.5</v>
      </c>
      <c r="E293">
        <v>0</v>
      </c>
      <c r="F293">
        <v>0</v>
      </c>
      <c r="G293">
        <v>0.5</v>
      </c>
      <c r="H293">
        <v>0</v>
      </c>
      <c r="I293">
        <v>0</v>
      </c>
      <c r="J293">
        <v>0.5</v>
      </c>
      <c r="K293">
        <v>0</v>
      </c>
      <c r="L293" t="s">
        <v>132</v>
      </c>
      <c r="M293" t="s">
        <v>158</v>
      </c>
      <c r="N293">
        <v>826096</v>
      </c>
    </row>
    <row r="294" spans="1:14">
      <c r="A294" t="s">
        <v>159</v>
      </c>
      <c r="B294" t="s">
        <v>130</v>
      </c>
      <c r="C294" t="s">
        <v>158</v>
      </c>
      <c r="D294">
        <v>25</v>
      </c>
      <c r="E294">
        <v>0</v>
      </c>
      <c r="F294">
        <v>0</v>
      </c>
      <c r="G294">
        <v>0.5</v>
      </c>
      <c r="H294">
        <v>0</v>
      </c>
      <c r="I294">
        <v>0</v>
      </c>
      <c r="J294">
        <v>0.5</v>
      </c>
      <c r="K294">
        <v>0</v>
      </c>
      <c r="L294" t="s">
        <v>132</v>
      </c>
      <c r="M294" t="s">
        <v>158</v>
      </c>
      <c r="N294">
        <v>826098</v>
      </c>
    </row>
    <row r="295" spans="1:14">
      <c r="A295" t="s">
        <v>159</v>
      </c>
      <c r="B295" t="s">
        <v>130</v>
      </c>
      <c r="C295" t="s">
        <v>158</v>
      </c>
      <c r="D295">
        <v>29.999999999999901</v>
      </c>
      <c r="E295">
        <v>0</v>
      </c>
      <c r="F295">
        <v>0</v>
      </c>
      <c r="G295">
        <v>0.5</v>
      </c>
      <c r="H295">
        <v>0</v>
      </c>
      <c r="I295">
        <v>0</v>
      </c>
      <c r="J295">
        <v>0.5</v>
      </c>
      <c r="K295">
        <v>0</v>
      </c>
      <c r="L295" t="s">
        <v>132</v>
      </c>
      <c r="M295" t="s">
        <v>158</v>
      </c>
      <c r="N295">
        <v>826100</v>
      </c>
    </row>
    <row r="296" spans="1:14">
      <c r="A296" t="s">
        <v>159</v>
      </c>
      <c r="B296" t="s">
        <v>130</v>
      </c>
      <c r="C296" t="s">
        <v>158</v>
      </c>
      <c r="D296">
        <v>22.5</v>
      </c>
      <c r="E296">
        <v>0</v>
      </c>
      <c r="F296">
        <v>0</v>
      </c>
      <c r="G296">
        <v>0.5</v>
      </c>
      <c r="H296">
        <v>0</v>
      </c>
      <c r="I296">
        <v>0</v>
      </c>
      <c r="J296">
        <v>0.5</v>
      </c>
      <c r="K296">
        <v>0</v>
      </c>
      <c r="L296" t="s">
        <v>132</v>
      </c>
      <c r="M296" t="s">
        <v>158</v>
      </c>
      <c r="N296">
        <v>826102</v>
      </c>
    </row>
    <row r="297" spans="1:14">
      <c r="A297" t="s">
        <v>159</v>
      </c>
      <c r="B297" t="s">
        <v>130</v>
      </c>
      <c r="C297" t="s">
        <v>158</v>
      </c>
      <c r="D297">
        <v>27.5</v>
      </c>
      <c r="E297">
        <v>0</v>
      </c>
      <c r="F297">
        <v>0</v>
      </c>
      <c r="G297">
        <v>0.5</v>
      </c>
      <c r="H297">
        <v>0</v>
      </c>
      <c r="I297">
        <v>0</v>
      </c>
      <c r="J297">
        <v>0.5</v>
      </c>
      <c r="K297">
        <v>0</v>
      </c>
      <c r="L297" t="s">
        <v>132</v>
      </c>
      <c r="M297" t="s">
        <v>158</v>
      </c>
      <c r="N297">
        <v>826409</v>
      </c>
    </row>
    <row r="298" spans="1:14">
      <c r="A298" t="s">
        <v>159</v>
      </c>
      <c r="B298" t="s">
        <v>130</v>
      </c>
      <c r="C298" t="s">
        <v>158</v>
      </c>
      <c r="D298">
        <v>25</v>
      </c>
      <c r="E298">
        <v>0</v>
      </c>
      <c r="F298">
        <v>0</v>
      </c>
      <c r="G298">
        <v>0.5</v>
      </c>
      <c r="H298">
        <v>0</v>
      </c>
      <c r="I298">
        <v>0</v>
      </c>
      <c r="J298">
        <v>0.5</v>
      </c>
      <c r="K298">
        <v>0</v>
      </c>
      <c r="L298" t="s">
        <v>132</v>
      </c>
      <c r="M298" t="s">
        <v>158</v>
      </c>
      <c r="N298">
        <v>826411</v>
      </c>
    </row>
    <row r="299" spans="1:14">
      <c r="A299" t="s">
        <v>159</v>
      </c>
      <c r="B299" t="s">
        <v>130</v>
      </c>
      <c r="C299" t="s">
        <v>158</v>
      </c>
      <c r="D299">
        <v>29.999999999999901</v>
      </c>
      <c r="E299">
        <v>0</v>
      </c>
      <c r="F299">
        <v>0</v>
      </c>
      <c r="G299">
        <v>0.5</v>
      </c>
      <c r="H299">
        <v>0</v>
      </c>
      <c r="I299">
        <v>0</v>
      </c>
      <c r="J299">
        <v>0.5</v>
      </c>
      <c r="K299">
        <v>0</v>
      </c>
      <c r="L299" t="s">
        <v>132</v>
      </c>
      <c r="M299" t="s">
        <v>158</v>
      </c>
      <c r="N299">
        <v>826413</v>
      </c>
    </row>
    <row r="300" spans="1:14">
      <c r="A300" t="s">
        <v>159</v>
      </c>
      <c r="B300" t="s">
        <v>130</v>
      </c>
      <c r="C300" t="s">
        <v>158</v>
      </c>
      <c r="D300">
        <v>22.5</v>
      </c>
      <c r="E300">
        <v>0</v>
      </c>
      <c r="F300">
        <v>0</v>
      </c>
      <c r="G300">
        <v>0.5</v>
      </c>
      <c r="H300">
        <v>0</v>
      </c>
      <c r="I300">
        <v>0</v>
      </c>
      <c r="J300">
        <v>0.5</v>
      </c>
      <c r="K300">
        <v>0</v>
      </c>
      <c r="L300" t="s">
        <v>132</v>
      </c>
      <c r="M300" t="s">
        <v>158</v>
      </c>
      <c r="N300">
        <v>826415</v>
      </c>
    </row>
    <row r="301" spans="1:14">
      <c r="A301" t="s">
        <v>160</v>
      </c>
      <c r="B301" t="s">
        <v>130</v>
      </c>
      <c r="C301" t="s">
        <v>158</v>
      </c>
      <c r="D301">
        <v>29.999999999999901</v>
      </c>
      <c r="E301">
        <v>0</v>
      </c>
      <c r="F301">
        <v>0</v>
      </c>
      <c r="G301">
        <v>0.5</v>
      </c>
      <c r="H301">
        <v>0</v>
      </c>
      <c r="I301">
        <v>0</v>
      </c>
      <c r="J301">
        <v>0.5</v>
      </c>
      <c r="K301">
        <v>0</v>
      </c>
      <c r="L301" t="s">
        <v>138</v>
      </c>
      <c r="M301" t="s">
        <v>158</v>
      </c>
      <c r="N301">
        <v>826156</v>
      </c>
    </row>
    <row r="302" spans="1:14">
      <c r="A302" t="s">
        <v>160</v>
      </c>
      <c r="B302" t="s">
        <v>130</v>
      </c>
      <c r="C302" t="s">
        <v>158</v>
      </c>
      <c r="D302">
        <v>4.9999999999999902</v>
      </c>
      <c r="E302">
        <v>0</v>
      </c>
      <c r="F302">
        <v>0</v>
      </c>
      <c r="G302">
        <v>0.5</v>
      </c>
      <c r="H302">
        <v>0</v>
      </c>
      <c r="I302">
        <v>0</v>
      </c>
      <c r="J302">
        <v>0.5</v>
      </c>
      <c r="K302">
        <v>0</v>
      </c>
      <c r="L302" t="s">
        <v>138</v>
      </c>
      <c r="M302" t="s">
        <v>158</v>
      </c>
      <c r="N302">
        <v>826158</v>
      </c>
    </row>
    <row r="303" spans="1:14">
      <c r="A303" t="s">
        <v>160</v>
      </c>
      <c r="B303" t="s">
        <v>130</v>
      </c>
      <c r="C303" t="s">
        <v>158</v>
      </c>
      <c r="D303">
        <v>29.999999999999901</v>
      </c>
      <c r="E303">
        <v>0</v>
      </c>
      <c r="F303">
        <v>0</v>
      </c>
      <c r="G303">
        <v>0.5</v>
      </c>
      <c r="H303">
        <v>0</v>
      </c>
      <c r="I303">
        <v>0</v>
      </c>
      <c r="J303">
        <v>0.5</v>
      </c>
      <c r="K303">
        <v>0</v>
      </c>
      <c r="L303" t="s">
        <v>138</v>
      </c>
      <c r="M303" t="s">
        <v>158</v>
      </c>
      <c r="N303">
        <v>826160</v>
      </c>
    </row>
    <row r="304" spans="1:14">
      <c r="A304" t="s">
        <v>160</v>
      </c>
      <c r="B304" t="s">
        <v>130</v>
      </c>
      <c r="C304" t="s">
        <v>158</v>
      </c>
      <c r="D304">
        <v>4.9999999999999902</v>
      </c>
      <c r="E304">
        <v>0</v>
      </c>
      <c r="F304">
        <v>0</v>
      </c>
      <c r="G304">
        <v>0.5</v>
      </c>
      <c r="H304">
        <v>0</v>
      </c>
      <c r="I304">
        <v>0</v>
      </c>
      <c r="J304">
        <v>0.5</v>
      </c>
      <c r="K304">
        <v>0</v>
      </c>
      <c r="L304" t="s">
        <v>138</v>
      </c>
      <c r="M304" t="s">
        <v>158</v>
      </c>
      <c r="N304">
        <v>826162</v>
      </c>
    </row>
    <row r="305" spans="1:14">
      <c r="A305" t="s">
        <v>161</v>
      </c>
      <c r="B305" t="s">
        <v>130</v>
      </c>
      <c r="C305" t="s">
        <v>158</v>
      </c>
      <c r="D305">
        <v>27.299999999999901</v>
      </c>
      <c r="E305">
        <v>0</v>
      </c>
      <c r="F305">
        <v>0</v>
      </c>
      <c r="G305">
        <v>0.5</v>
      </c>
      <c r="H305">
        <v>0</v>
      </c>
      <c r="I305">
        <v>0</v>
      </c>
      <c r="J305">
        <v>0.5</v>
      </c>
      <c r="K305">
        <v>0</v>
      </c>
      <c r="L305" t="s">
        <v>138</v>
      </c>
      <c r="M305" t="s">
        <v>158</v>
      </c>
      <c r="N305">
        <v>826164</v>
      </c>
    </row>
    <row r="306" spans="1:14">
      <c r="A306" t="s">
        <v>161</v>
      </c>
      <c r="B306" t="s">
        <v>130</v>
      </c>
      <c r="C306" t="s">
        <v>158</v>
      </c>
      <c r="D306">
        <v>4.9999999999999902</v>
      </c>
      <c r="E306">
        <v>0</v>
      </c>
      <c r="F306">
        <v>0</v>
      </c>
      <c r="G306">
        <v>0.5</v>
      </c>
      <c r="H306">
        <v>0</v>
      </c>
      <c r="I306">
        <v>0</v>
      </c>
      <c r="J306">
        <v>0.5</v>
      </c>
      <c r="K306">
        <v>0</v>
      </c>
      <c r="L306" t="s">
        <v>138</v>
      </c>
      <c r="M306" t="s">
        <v>158</v>
      </c>
      <c r="N306">
        <v>826166</v>
      </c>
    </row>
    <row r="307" spans="1:14">
      <c r="A307" t="s">
        <v>161</v>
      </c>
      <c r="B307" t="s">
        <v>130</v>
      </c>
      <c r="C307" t="s">
        <v>158</v>
      </c>
      <c r="D307">
        <v>27.299999999999901</v>
      </c>
      <c r="E307">
        <v>0</v>
      </c>
      <c r="F307">
        <v>0</v>
      </c>
      <c r="G307">
        <v>0.5</v>
      </c>
      <c r="H307">
        <v>0</v>
      </c>
      <c r="I307">
        <v>0</v>
      </c>
      <c r="J307">
        <v>0.5</v>
      </c>
      <c r="K307">
        <v>0</v>
      </c>
      <c r="L307" t="s">
        <v>138</v>
      </c>
      <c r="M307" t="s">
        <v>158</v>
      </c>
      <c r="N307">
        <v>826168</v>
      </c>
    </row>
    <row r="308" spans="1:14">
      <c r="A308" t="s">
        <v>161</v>
      </c>
      <c r="B308" t="s">
        <v>130</v>
      </c>
      <c r="C308" t="s">
        <v>158</v>
      </c>
      <c r="D308">
        <v>4.9999999999999902</v>
      </c>
      <c r="E308">
        <v>0</v>
      </c>
      <c r="F308">
        <v>0</v>
      </c>
      <c r="G308">
        <v>0.5</v>
      </c>
      <c r="H308">
        <v>0</v>
      </c>
      <c r="I308">
        <v>0</v>
      </c>
      <c r="J308">
        <v>0.5</v>
      </c>
      <c r="K308">
        <v>0</v>
      </c>
      <c r="L308" t="s">
        <v>138</v>
      </c>
      <c r="M308" t="s">
        <v>158</v>
      </c>
      <c r="N308">
        <v>826170</v>
      </c>
    </row>
    <row r="309" spans="1:14">
      <c r="A309" t="s">
        <v>161</v>
      </c>
      <c r="B309" t="s">
        <v>130</v>
      </c>
      <c r="C309" t="s">
        <v>158</v>
      </c>
      <c r="D309">
        <v>2.5</v>
      </c>
      <c r="E309">
        <v>0</v>
      </c>
      <c r="F309">
        <v>0</v>
      </c>
      <c r="G309">
        <v>0.5</v>
      </c>
      <c r="H309">
        <v>0</v>
      </c>
      <c r="I309">
        <v>0</v>
      </c>
      <c r="J309">
        <v>0.5</v>
      </c>
      <c r="K309">
        <v>0</v>
      </c>
      <c r="L309" t="s">
        <v>138</v>
      </c>
      <c r="M309" t="s">
        <v>158</v>
      </c>
      <c r="N309">
        <v>826172</v>
      </c>
    </row>
    <row r="310" spans="1:14">
      <c r="A310" t="s">
        <v>161</v>
      </c>
      <c r="B310" t="s">
        <v>130</v>
      </c>
      <c r="C310" t="s">
        <v>158</v>
      </c>
      <c r="D310">
        <v>4.9999999999999902</v>
      </c>
      <c r="E310">
        <v>0</v>
      </c>
      <c r="F310">
        <v>0</v>
      </c>
      <c r="G310">
        <v>0.5</v>
      </c>
      <c r="H310">
        <v>0</v>
      </c>
      <c r="I310">
        <v>0</v>
      </c>
      <c r="J310">
        <v>0.5</v>
      </c>
      <c r="K310">
        <v>0</v>
      </c>
      <c r="L310" t="s">
        <v>138</v>
      </c>
      <c r="M310" t="s">
        <v>158</v>
      </c>
      <c r="N310">
        <v>826174</v>
      </c>
    </row>
    <row r="311" spans="1:14">
      <c r="A311" t="s">
        <v>161</v>
      </c>
      <c r="B311" t="s">
        <v>130</v>
      </c>
      <c r="C311" t="s">
        <v>158</v>
      </c>
      <c r="D311">
        <v>2.5</v>
      </c>
      <c r="E311">
        <v>0</v>
      </c>
      <c r="F311">
        <v>0</v>
      </c>
      <c r="G311">
        <v>0.5</v>
      </c>
      <c r="H311">
        <v>0</v>
      </c>
      <c r="I311">
        <v>0</v>
      </c>
      <c r="J311">
        <v>0.5</v>
      </c>
      <c r="K311">
        <v>0</v>
      </c>
      <c r="L311" t="s">
        <v>138</v>
      </c>
      <c r="M311" t="s">
        <v>158</v>
      </c>
      <c r="N311">
        <v>826176</v>
      </c>
    </row>
    <row r="312" spans="1:14">
      <c r="A312" t="s">
        <v>161</v>
      </c>
      <c r="B312" t="s">
        <v>130</v>
      </c>
      <c r="C312" t="s">
        <v>158</v>
      </c>
      <c r="D312">
        <v>4.9999999999999902</v>
      </c>
      <c r="E312">
        <v>0</v>
      </c>
      <c r="F312">
        <v>0</v>
      </c>
      <c r="G312">
        <v>0.5</v>
      </c>
      <c r="H312">
        <v>0</v>
      </c>
      <c r="I312">
        <v>0</v>
      </c>
      <c r="J312">
        <v>0.5</v>
      </c>
      <c r="K312">
        <v>0</v>
      </c>
      <c r="L312" t="s">
        <v>138</v>
      </c>
      <c r="M312" t="s">
        <v>158</v>
      </c>
      <c r="N312">
        <v>826178</v>
      </c>
    </row>
    <row r="313" spans="1:14">
      <c r="A313" t="s">
        <v>162</v>
      </c>
      <c r="B313" t="s">
        <v>130</v>
      </c>
      <c r="C313" t="s">
        <v>163</v>
      </c>
      <c r="D313">
        <v>0.5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 t="s">
        <v>138</v>
      </c>
      <c r="M313" t="s">
        <v>163</v>
      </c>
      <c r="N313">
        <v>825953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Dashboard_Jack">
                <anchor moveWithCells="1" sizeWithCells="1">
                  <from>
                    <xdr:col>16</xdr:col>
                    <xdr:colOff>0</xdr:colOff>
                    <xdr:row>0</xdr:row>
                    <xdr:rowOff>200025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3D7BF-E2AD-4186-8A8B-145AEAB51CD9}">
  <sheetPr codeName="Sheet3"/>
  <dimension ref="A1:O31"/>
  <sheetViews>
    <sheetView topLeftCell="C1" workbookViewId="0">
      <selection activeCell="F19" sqref="F19"/>
    </sheetView>
  </sheetViews>
  <sheetFormatPr defaultRowHeight="16.5"/>
  <cols>
    <col min="1" max="1" width="17.25" bestFit="1" customWidth="1"/>
    <col min="2" max="2" width="39.5" bestFit="1" customWidth="1"/>
    <col min="3" max="3" width="49.25" bestFit="1" customWidth="1"/>
    <col min="4" max="4" width="28.375" bestFit="1" customWidth="1"/>
    <col min="5" max="5" width="54.25" bestFit="1" customWidth="1"/>
    <col min="6" max="6" width="52" bestFit="1" customWidth="1"/>
    <col min="7" max="7" width="7.125" bestFit="1" customWidth="1"/>
    <col min="8" max="8" width="11.625" bestFit="1" customWidth="1"/>
    <col min="9" max="9" width="23.5" bestFit="1" customWidth="1"/>
    <col min="10" max="10" width="11" bestFit="1" customWidth="1"/>
    <col min="11" max="11" width="13.75" bestFit="1" customWidth="1"/>
    <col min="12" max="12" width="5.25" bestFit="1" customWidth="1"/>
    <col min="13" max="13" width="20" bestFit="1" customWidth="1"/>
    <col min="14" max="14" width="13.75" bestFit="1" customWidth="1"/>
    <col min="15" max="15" width="13" bestFit="1" customWidth="1"/>
  </cols>
  <sheetData>
    <row r="1" spans="1:15">
      <c r="A1" t="s">
        <v>0</v>
      </c>
      <c r="B1" t="s">
        <v>12</v>
      </c>
      <c r="C1" t="s">
        <v>13</v>
      </c>
      <c r="D1" s="13" t="s">
        <v>48</v>
      </c>
      <c r="E1" s="13" t="s">
        <v>49</v>
      </c>
      <c r="F1" s="13" t="s">
        <v>62</v>
      </c>
      <c r="G1" t="s">
        <v>14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</row>
    <row r="2" spans="1:15">
      <c r="A2" t="s">
        <v>15</v>
      </c>
      <c r="B2" t="s">
        <v>42</v>
      </c>
      <c r="D2" t="s">
        <v>54</v>
      </c>
    </row>
    <row r="3" spans="1:15">
      <c r="A3" t="s">
        <v>16</v>
      </c>
      <c r="B3" t="s">
        <v>43</v>
      </c>
      <c r="D3" t="s">
        <v>55</v>
      </c>
    </row>
    <row r="4" spans="1:15">
      <c r="A4" t="s">
        <v>18</v>
      </c>
      <c r="B4" t="s">
        <v>46</v>
      </c>
      <c r="D4" t="s">
        <v>57</v>
      </c>
    </row>
    <row r="5" spans="1:15">
      <c r="A5" t="s">
        <v>17</v>
      </c>
      <c r="B5" t="s">
        <v>43</v>
      </c>
      <c r="D5" t="s">
        <v>58</v>
      </c>
    </row>
    <row r="6" spans="1:15">
      <c r="A6" t="s">
        <v>19</v>
      </c>
      <c r="C6" t="s">
        <v>41</v>
      </c>
      <c r="F6" t="s">
        <v>59</v>
      </c>
    </row>
    <row r="7" spans="1:15">
      <c r="A7" t="s">
        <v>44</v>
      </c>
      <c r="C7" t="s">
        <v>43</v>
      </c>
      <c r="F7" t="s">
        <v>55</v>
      </c>
    </row>
    <row r="8" spans="1:15">
      <c r="A8" t="s">
        <v>39</v>
      </c>
      <c r="C8" t="s">
        <v>43</v>
      </c>
    </row>
    <row r="9" spans="1:15">
      <c r="A9" t="s">
        <v>45</v>
      </c>
      <c r="C9" t="s">
        <v>43</v>
      </c>
      <c r="F9" t="s">
        <v>55</v>
      </c>
    </row>
    <row r="10" spans="1:15">
      <c r="A10" t="s">
        <v>20</v>
      </c>
      <c r="C10" t="s">
        <v>43</v>
      </c>
      <c r="E10" t="s">
        <v>100</v>
      </c>
    </row>
    <row r="11" spans="1:15">
      <c r="A11" t="s">
        <v>21</v>
      </c>
      <c r="C11" t="s">
        <v>43</v>
      </c>
      <c r="E11" t="s">
        <v>101</v>
      </c>
    </row>
    <row r="12" spans="1:15">
      <c r="A12" t="s">
        <v>22</v>
      </c>
      <c r="C12" t="s">
        <v>43</v>
      </c>
      <c r="E12" t="s">
        <v>102</v>
      </c>
    </row>
    <row r="13" spans="1:15">
      <c r="A13" t="s">
        <v>23</v>
      </c>
      <c r="B13" t="s">
        <v>43</v>
      </c>
      <c r="D13" t="s">
        <v>103</v>
      </c>
    </row>
    <row r="14" spans="1:15">
      <c r="A14" t="s">
        <v>24</v>
      </c>
      <c r="B14" t="s">
        <v>43</v>
      </c>
      <c r="D14" t="s">
        <v>103</v>
      </c>
    </row>
    <row r="15" spans="1:15">
      <c r="A15" t="s">
        <v>25</v>
      </c>
      <c r="B15" t="s">
        <v>43</v>
      </c>
      <c r="D15" t="s">
        <v>103</v>
      </c>
    </row>
    <row r="16" spans="1:15">
      <c r="A16" t="s">
        <v>26</v>
      </c>
      <c r="C16" t="s">
        <v>120</v>
      </c>
      <c r="F16" t="s">
        <v>119</v>
      </c>
    </row>
    <row r="17" spans="1:6">
      <c r="A17" t="s">
        <v>27</v>
      </c>
      <c r="C17" t="s">
        <v>43</v>
      </c>
      <c r="F17" t="s">
        <v>104</v>
      </c>
    </row>
    <row r="18" spans="1:6">
      <c r="A18" t="s">
        <v>28</v>
      </c>
      <c r="C18" t="s">
        <v>43</v>
      </c>
      <c r="F18" t="s">
        <v>104</v>
      </c>
    </row>
    <row r="19" spans="1:6">
      <c r="A19" t="s">
        <v>29</v>
      </c>
      <c r="C19" t="s">
        <v>47</v>
      </c>
      <c r="F19" t="s">
        <v>121</v>
      </c>
    </row>
    <row r="20" spans="1:6">
      <c r="A20" t="s">
        <v>30</v>
      </c>
      <c r="C20" t="s">
        <v>47</v>
      </c>
    </row>
    <row r="21" spans="1:6">
      <c r="A21" t="s">
        <v>31</v>
      </c>
      <c r="C21" t="s">
        <v>47</v>
      </c>
    </row>
    <row r="22" spans="1:6">
      <c r="A22" t="s">
        <v>32</v>
      </c>
      <c r="C22" t="s">
        <v>47</v>
      </c>
    </row>
    <row r="23" spans="1:6">
      <c r="A23" t="s">
        <v>33</v>
      </c>
      <c r="C23" t="s">
        <v>47</v>
      </c>
    </row>
    <row r="24" spans="1:6">
      <c r="A24" t="s">
        <v>33</v>
      </c>
      <c r="C24" t="s">
        <v>47</v>
      </c>
    </row>
    <row r="25" spans="1:6">
      <c r="A25" t="s">
        <v>34</v>
      </c>
      <c r="C25" t="s">
        <v>47</v>
      </c>
    </row>
    <row r="26" spans="1:6">
      <c r="A26" t="s">
        <v>34</v>
      </c>
      <c r="C26" t="s">
        <v>47</v>
      </c>
    </row>
    <row r="27" spans="1:6">
      <c r="A27" t="s">
        <v>35</v>
      </c>
      <c r="C27" t="s">
        <v>47</v>
      </c>
    </row>
    <row r="28" spans="1:6">
      <c r="A28" t="s">
        <v>36</v>
      </c>
      <c r="C28" t="s">
        <v>47</v>
      </c>
    </row>
    <row r="29" spans="1:6">
      <c r="A29" t="s">
        <v>37</v>
      </c>
      <c r="C29" t="s">
        <v>47</v>
      </c>
    </row>
    <row r="30" spans="1:6">
      <c r="A30" t="s">
        <v>38</v>
      </c>
      <c r="C30" t="s">
        <v>47</v>
      </c>
    </row>
    <row r="31" spans="1:6">
      <c r="A31" t="s">
        <v>107</v>
      </c>
      <c r="B31" s="14" t="s">
        <v>56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6F58-5CB5-4D8C-B5BC-250585BDAEB7}">
  <sheetPr codeName="Sheet2"/>
  <dimension ref="A1:C28"/>
  <sheetViews>
    <sheetView zoomScale="130" zoomScaleNormal="130" workbookViewId="0">
      <selection activeCell="C31" sqref="C31"/>
    </sheetView>
  </sheetViews>
  <sheetFormatPr defaultRowHeight="16.5"/>
  <cols>
    <col min="1" max="1" width="13" bestFit="1" customWidth="1"/>
    <col min="2" max="2" width="8.875" bestFit="1" customWidth="1"/>
    <col min="3" max="3" width="29.875" bestFit="1" customWidth="1"/>
  </cols>
  <sheetData>
    <row r="1" spans="1:3">
      <c r="A1" t="s">
        <v>50</v>
      </c>
      <c r="B1" t="s">
        <v>40</v>
      </c>
      <c r="C1" t="s">
        <v>51</v>
      </c>
    </row>
    <row r="2" spans="1:3">
      <c r="A2" t="s">
        <v>52</v>
      </c>
      <c r="B2" s="15">
        <f>VLOOKUP("L1",CSV_Import!$A:$K,4,FALSE)+VLOOKUP("L1",CSV_Import!$A:$K,5,FALSE)+VLOOKUP("L1",CSV_Import!$A:$K,6,FALSE)</f>
        <v>30.599999999999898</v>
      </c>
      <c r="C2" t="s">
        <v>91</v>
      </c>
    </row>
    <row r="3" spans="1:3">
      <c r="A3" t="s">
        <v>53</v>
      </c>
      <c r="B3" s="15">
        <f>VLOOKUP("L1",CSV_Import!$A:$K,7,FALSE)*2</f>
        <v>50.8</v>
      </c>
      <c r="C3" t="s">
        <v>92</v>
      </c>
    </row>
    <row r="4" spans="1:3">
      <c r="A4" t="s">
        <v>60</v>
      </c>
      <c r="B4" s="15">
        <f>VLOOKUP("B1",CSV_Import!$A:$K,4,FALSE)+VLOOKUP("B1",CSV_Import!$A:$K,5,FALSE)+VLOOKUP("B1",CSV_Import!$A:$K,6,FALSE)</f>
        <v>30.399999999999888</v>
      </c>
      <c r="C4" t="s">
        <v>93</v>
      </c>
    </row>
    <row r="5" spans="1:3">
      <c r="A5" t="s">
        <v>61</v>
      </c>
      <c r="B5" s="15">
        <f>VLOOKUP("B1",CSV_Import!$A:$K,7,FALSE)*2</f>
        <v>50.6</v>
      </c>
      <c r="C5" t="s">
        <v>94</v>
      </c>
    </row>
    <row r="6" spans="1:3">
      <c r="A6" t="s">
        <v>63</v>
      </c>
      <c r="B6" s="15">
        <f>VLOOKUP("S1",CSV_Import!$A:$K,4,FALSE)-VLOOKUP("W3",CSV_Import!$A:$K,7,FALSE)-VLOOKUP("W4",CSV_Import!$A:$K,7,FALSE)</f>
        <v>29.999999999999901</v>
      </c>
      <c r="C6" t="s">
        <v>81</v>
      </c>
    </row>
    <row r="7" spans="1:3">
      <c r="A7" t="s">
        <v>64</v>
      </c>
      <c r="B7" s="15">
        <f>VLOOKUP("S1",CSV_Import!$A:$K,7,FALSE)-VLOOKUP("W1",CSV_Import!$A:$K,7,FALSE)-VLOOKUP("W6",CSV_Import!$A:$K,7,FALSE)/2</f>
        <v>24.999999999999901</v>
      </c>
      <c r="C7" t="s">
        <v>82</v>
      </c>
    </row>
    <row r="8" spans="1:3">
      <c r="A8" t="s">
        <v>65</v>
      </c>
      <c r="B8" s="15">
        <f>$B$6-$B$20*2</f>
        <v>28.999999999999901</v>
      </c>
      <c r="C8" t="s">
        <v>83</v>
      </c>
    </row>
    <row r="9" spans="1:3">
      <c r="A9" t="s">
        <v>66</v>
      </c>
      <c r="B9" s="15">
        <f>$B$7-$B$20*2</f>
        <v>23.999999999999901</v>
      </c>
      <c r="C9" t="s">
        <v>84</v>
      </c>
    </row>
    <row r="10" spans="1:3">
      <c r="A10" t="s">
        <v>71</v>
      </c>
      <c r="B10" s="15">
        <f>VLOOKUP("S2",CSV_Import!$A:$K,4,FALSE)-VLOOKUP("W9",CSV_Import!$A:$K,7,FALSE)</f>
        <v>4.9999999999999902</v>
      </c>
      <c r="C10" t="s">
        <v>79</v>
      </c>
    </row>
    <row r="11" spans="1:3">
      <c r="A11" t="s">
        <v>72</v>
      </c>
      <c r="B11" s="15">
        <f>VLOOKUP("S2",CSV_Import!$A:$K,7,FALSE)-VLOOKUP("W7",CSV_Import!$A:$K,7,FALSE)-VLOOKUP("W10",CSV_Import!$A:$K,7,FALSE)-VLOOKUP("W8",CSV_Import!$A:$K,7,FALSE)-VLOOKUP("W10",CSV_Import!$A:$K,11,FALSE)</f>
        <v>27.299999999999912</v>
      </c>
      <c r="C11" t="s">
        <v>80</v>
      </c>
    </row>
    <row r="12" spans="1:3">
      <c r="A12" t="s">
        <v>73</v>
      </c>
      <c r="B12" s="15">
        <f>$B$10-$B$22*2</f>
        <v>3.9999999999999902</v>
      </c>
      <c r="C12" t="s">
        <v>85</v>
      </c>
    </row>
    <row r="13" spans="1:3">
      <c r="A13" t="s">
        <v>74</v>
      </c>
      <c r="B13" s="15">
        <f>$B$11-$B$22*2</f>
        <v>26.299999999999912</v>
      </c>
      <c r="C13" t="s">
        <v>86</v>
      </c>
    </row>
    <row r="14" spans="1:3">
      <c r="A14" t="s">
        <v>75</v>
      </c>
      <c r="B14" s="15">
        <f>VLOOKUP("S2",CSV_Import!$A:$K,4,FALSE)-VLOOKUP("W9",CSV_Import!$A:$K,7,FALSE)</f>
        <v>4.9999999999999902</v>
      </c>
      <c r="C14" t="s">
        <v>87</v>
      </c>
    </row>
    <row r="15" spans="1:3">
      <c r="A15" t="s">
        <v>76</v>
      </c>
      <c r="B15" s="15">
        <f>VLOOKUP("W10",CSV_Import!$A:$K,11,FALSE)</f>
        <v>2.4999999999999898</v>
      </c>
      <c r="C15" t="s">
        <v>88</v>
      </c>
    </row>
    <row r="16" spans="1:3">
      <c r="A16" t="s">
        <v>77</v>
      </c>
      <c r="B16" s="15">
        <f>$B$14-$B$22*2</f>
        <v>3.9999999999999902</v>
      </c>
      <c r="C16" t="s">
        <v>89</v>
      </c>
    </row>
    <row r="17" spans="1:3">
      <c r="A17" t="s">
        <v>78</v>
      </c>
      <c r="B17" s="15">
        <f>$B$15-$B$22*2</f>
        <v>1.4999999999999898</v>
      </c>
      <c r="C17" t="s">
        <v>90</v>
      </c>
    </row>
    <row r="18" spans="1:3">
      <c r="A18" t="s">
        <v>67</v>
      </c>
      <c r="B18" s="15">
        <f>VLOOKUP("MS1",CSV_Import!$A:$K,4,FALSE)-$B$24*2</f>
        <v>3.9999999999999902</v>
      </c>
      <c r="C18" t="s">
        <v>95</v>
      </c>
    </row>
    <row r="19" spans="1:3">
      <c r="A19" t="s">
        <v>68</v>
      </c>
      <c r="B19" s="15">
        <f>VLOOKUP("MS1",CSV_Import!$A:$K,7,FALSE)-$B$24*2</f>
        <v>28.999999999999901</v>
      </c>
      <c r="C19" t="s">
        <v>96</v>
      </c>
    </row>
    <row r="20" spans="1:3">
      <c r="A20" t="s">
        <v>69</v>
      </c>
      <c r="B20" s="15">
        <f>IFERROR(VLOOKUP("H1",CSV_Import!$A:$K,7,FALSE),0)</f>
        <v>0.5</v>
      </c>
      <c r="C20" t="s">
        <v>97</v>
      </c>
    </row>
    <row r="21" spans="1:3">
      <c r="A21" t="s">
        <v>108</v>
      </c>
      <c r="B21" s="15">
        <f>ROUND(SQRT($B$20^2+$B$20^2),2)</f>
        <v>0.71</v>
      </c>
      <c r="C21" t="s">
        <v>111</v>
      </c>
    </row>
    <row r="22" spans="1:3">
      <c r="A22" t="s">
        <v>70</v>
      </c>
      <c r="B22" s="15">
        <f>IFERROR(VLOOKUP("H2",CSV_Import!$A:$K,7,FALSE),0)</f>
        <v>0.5</v>
      </c>
      <c r="C22" t="s">
        <v>98</v>
      </c>
    </row>
    <row r="23" spans="1:3">
      <c r="A23" t="s">
        <v>109</v>
      </c>
      <c r="B23" s="15">
        <f>ROUND(SQRT($B$22^2+$B$22^2),2)</f>
        <v>0.71</v>
      </c>
      <c r="C23" t="s">
        <v>112</v>
      </c>
    </row>
    <row r="24" spans="1:3">
      <c r="A24" t="s">
        <v>114</v>
      </c>
      <c r="B24" s="15">
        <f>IFERROR(VLOOKUP("H3",CSV_Import!$A:$K,7,FALSE),0)</f>
        <v>0.5</v>
      </c>
      <c r="C24" t="s">
        <v>99</v>
      </c>
    </row>
    <row r="25" spans="1:3">
      <c r="A25" t="s">
        <v>110</v>
      </c>
      <c r="B25" s="15">
        <f>ROUND(SQRT($B$24^2+$B$24^2),2)</f>
        <v>0.71</v>
      </c>
      <c r="C25" t="s">
        <v>113</v>
      </c>
    </row>
    <row r="26" spans="1:3">
      <c r="A26" t="s">
        <v>117</v>
      </c>
      <c r="B26" s="15">
        <f>IFERROR(VLOOKUP("C1",CSV_Import!$A:$K,10,FALSE)-VLOOKUP("C1",CSV_Import!$A:$K,11,FALSE),VLOOKUP("C1",CSV_Import!$A:$K,10,FALSE))</f>
        <v>4.9499999999999904</v>
      </c>
      <c r="C26" t="s">
        <v>105</v>
      </c>
    </row>
    <row r="27" spans="1:3">
      <c r="A27" t="s">
        <v>118</v>
      </c>
      <c r="B27" s="15">
        <f>VLOOKUP("C1",CSV_Import!$A:$K,11,FALSE)*2+VLOOKUP("C1",CSV_Import!$A:$K,4,FALSE)</f>
        <v>0.3</v>
      </c>
      <c r="C27" t="s">
        <v>106</v>
      </c>
    </row>
    <row r="28" spans="1:3">
      <c r="A28" t="s">
        <v>115</v>
      </c>
      <c r="B28">
        <f>ROUND(SQRT(VLOOKUP("C1",CSV_Import!$A:$K,11,FALSE)^2+VLOOKUP("C1",CSV_Import!$A:$K,11,FALSE)^2),2)</f>
        <v>0</v>
      </c>
      <c r="C28" t="s">
        <v>116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84553-CF25-48DE-9C3B-FE79D2CBAAEB}">
  <sheetPr codeName="Sheet713">
    <pageSetUpPr fitToPage="1"/>
  </sheetPr>
  <dimension ref="A1:Z223"/>
  <sheetViews>
    <sheetView showOutlineSymbols="0" zoomScale="115" zoomScaleNormal="115" zoomScaleSheetLayoutView="130" workbookViewId="0">
      <selection activeCell="M8" sqref="M8"/>
    </sheetView>
  </sheetViews>
  <sheetFormatPr defaultRowHeight="16.5"/>
  <cols>
    <col min="1" max="1" width="17.125" style="12" customWidth="1"/>
    <col min="2" max="2" width="2.25" style="12" customWidth="1"/>
    <col min="3" max="24" width="2.25" style="10" customWidth="1"/>
    <col min="25" max="25" width="2.25" style="11" customWidth="1"/>
    <col min="26" max="26" width="13.25" style="11" customWidth="1"/>
  </cols>
  <sheetData>
    <row r="1" spans="1:26" ht="27" customHeight="1">
      <c r="A1" s="3" t="s">
        <v>1</v>
      </c>
      <c r="B1" s="4" t="s">
        <v>2</v>
      </c>
      <c r="C1" s="4"/>
      <c r="D1" s="4"/>
      <c r="E1" s="4"/>
      <c r="F1" s="4"/>
      <c r="G1" s="5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7"/>
      <c r="W1" s="7"/>
      <c r="X1" s="7"/>
      <c r="Y1" s="8"/>
      <c r="Z1" s="9" t="s">
        <v>3</v>
      </c>
    </row>
    <row r="2" spans="1:26">
      <c r="A2" s="17" t="s">
        <v>12</v>
      </c>
    </row>
    <row r="3" spans="1:26">
      <c r="B3" s="18" t="s">
        <v>164</v>
      </c>
    </row>
    <row r="4" spans="1:26">
      <c r="E4" s="19" t="s">
        <v>165</v>
      </c>
      <c r="F4" s="20" t="s">
        <v>166</v>
      </c>
      <c r="G4" s="20" t="s">
        <v>166</v>
      </c>
      <c r="H4" s="21">
        <v>27.6</v>
      </c>
      <c r="I4" s="21"/>
      <c r="J4" s="20" t="s">
        <v>167</v>
      </c>
      <c r="K4" s="21">
        <v>25.4</v>
      </c>
      <c r="L4" s="21"/>
      <c r="M4" s="20" t="s">
        <v>168</v>
      </c>
      <c r="N4" s="21">
        <v>2.7</v>
      </c>
      <c r="O4" s="21"/>
      <c r="P4" s="20" t="s">
        <v>167</v>
      </c>
      <c r="Q4" s="21">
        <v>22.6</v>
      </c>
      <c r="R4" s="21"/>
      <c r="S4" s="20" t="s">
        <v>168</v>
      </c>
      <c r="T4" s="21">
        <v>0.3</v>
      </c>
      <c r="U4" s="21"/>
    </row>
    <row r="6" spans="1:26">
      <c r="F6" s="20" t="s">
        <v>167</v>
      </c>
      <c r="G6" s="21">
        <v>10.199999999999999</v>
      </c>
      <c r="H6" s="21"/>
      <c r="I6" s="20" t="s">
        <v>169</v>
      </c>
      <c r="J6" s="20" t="s">
        <v>167</v>
      </c>
      <c r="K6" s="21">
        <v>0.1</v>
      </c>
      <c r="L6" s="21"/>
      <c r="M6" s="20" t="s">
        <v>167</v>
      </c>
      <c r="N6" s="22">
        <v>2</v>
      </c>
      <c r="O6" s="22"/>
      <c r="P6" s="20" t="s">
        <v>169</v>
      </c>
      <c r="V6" s="20" t="s">
        <v>170</v>
      </c>
      <c r="W6" s="23">
        <f>ROUND(((H4*K4+N4*Q4+T4*G6)*K6*N6), 2)</f>
        <v>153.02000000000001</v>
      </c>
      <c r="X6" s="23"/>
      <c r="Y6" s="24"/>
    </row>
    <row r="8" spans="1:26">
      <c r="E8" s="19" t="s">
        <v>171</v>
      </c>
      <c r="F8" s="21">
        <v>2.7</v>
      </c>
      <c r="G8" s="21"/>
      <c r="H8" s="20" t="s">
        <v>167</v>
      </c>
      <c r="I8" s="21">
        <v>5.6</v>
      </c>
      <c r="J8" s="21"/>
      <c r="K8" s="20" t="s">
        <v>167</v>
      </c>
      <c r="L8" s="21">
        <v>0.1</v>
      </c>
      <c r="M8" s="21"/>
      <c r="V8" s="20" t="s">
        <v>170</v>
      </c>
      <c r="W8" s="23">
        <f>ROUND(F8*I8*L8, 2)</f>
        <v>1.51</v>
      </c>
      <c r="X8" s="23"/>
      <c r="Y8" s="24"/>
    </row>
    <row r="9" spans="1:26">
      <c r="B9" s="18"/>
    </row>
    <row r="10" spans="1:26">
      <c r="E10" s="19" t="s">
        <v>172</v>
      </c>
      <c r="F10" s="29" t="s">
        <v>166</v>
      </c>
      <c r="G10" s="21">
        <v>2.1</v>
      </c>
      <c r="H10" s="21"/>
      <c r="I10" s="29" t="s">
        <v>168</v>
      </c>
      <c r="J10" s="21">
        <v>0.1</v>
      </c>
      <c r="K10" s="21"/>
      <c r="L10" s="29" t="s">
        <v>169</v>
      </c>
      <c r="M10" s="29" t="s">
        <v>167</v>
      </c>
      <c r="N10" s="21">
        <v>2</v>
      </c>
      <c r="O10" s="21"/>
      <c r="P10" s="20" t="s">
        <v>167</v>
      </c>
      <c r="Q10" s="25">
        <v>1</v>
      </c>
      <c r="R10" s="25"/>
      <c r="S10" s="29" t="s">
        <v>173</v>
      </c>
      <c r="T10" s="25">
        <v>2</v>
      </c>
      <c r="U10" s="25"/>
    </row>
    <row r="12" spans="1:26">
      <c r="F12" s="29" t="s">
        <v>167</v>
      </c>
      <c r="G12" s="29" t="s">
        <v>166</v>
      </c>
      <c r="H12" s="21">
        <v>12.4</v>
      </c>
      <c r="I12" s="21"/>
      <c r="J12" s="29" t="s">
        <v>167</v>
      </c>
      <c r="K12" s="25">
        <v>2</v>
      </c>
      <c r="L12" s="25"/>
      <c r="M12" s="30" t="s">
        <v>168</v>
      </c>
      <c r="N12" s="21">
        <v>2.7</v>
      </c>
      <c r="O12" s="21"/>
      <c r="P12" s="20" t="s">
        <v>167</v>
      </c>
      <c r="Q12" s="25">
        <v>2</v>
      </c>
      <c r="R12" s="25"/>
      <c r="S12" s="29" t="s">
        <v>168</v>
      </c>
      <c r="T12" s="21">
        <v>5.6</v>
      </c>
      <c r="U12" s="21"/>
    </row>
    <row r="14" spans="1:26">
      <c r="F14" s="29" t="s">
        <v>169</v>
      </c>
      <c r="G14" s="29"/>
      <c r="H14" s="20"/>
      <c r="I14" s="29"/>
      <c r="J14" s="29"/>
      <c r="K14" s="20"/>
      <c r="V14" s="20" t="s">
        <v>170</v>
      </c>
      <c r="W14" s="23">
        <f>ROUND((G10+J10)*N10*Q10/T10*(H12*K12+N12*Q12+T12), 2)</f>
        <v>78.760000000000005</v>
      </c>
      <c r="X14" s="23"/>
      <c r="Y14" s="24"/>
    </row>
    <row r="16" spans="1:26">
      <c r="E16" s="19" t="s">
        <v>174</v>
      </c>
      <c r="F16" s="21">
        <v>5.5</v>
      </c>
      <c r="G16" s="21"/>
      <c r="H16" s="20" t="s">
        <v>167</v>
      </c>
      <c r="I16" s="21">
        <v>30.6</v>
      </c>
      <c r="J16" s="21"/>
      <c r="K16" s="20" t="s">
        <v>167</v>
      </c>
      <c r="L16" s="21">
        <v>0.1</v>
      </c>
      <c r="M16" s="21"/>
      <c r="V16" s="20" t="s">
        <v>170</v>
      </c>
      <c r="W16" s="23">
        <f>ROUND(F16*I16*L16, 2)</f>
        <v>16.829999999999998</v>
      </c>
      <c r="X16" s="23"/>
      <c r="Y16" s="24"/>
    </row>
    <row r="17" spans="1:26">
      <c r="B17" s="18"/>
    </row>
    <row r="18" spans="1:26">
      <c r="E18" s="19" t="s">
        <v>175</v>
      </c>
      <c r="F18" s="21">
        <v>4.8</v>
      </c>
      <c r="G18" s="21"/>
      <c r="H18" s="20" t="s">
        <v>167</v>
      </c>
      <c r="I18" s="21">
        <v>29.8</v>
      </c>
      <c r="J18" s="21"/>
      <c r="K18" s="20" t="s">
        <v>167</v>
      </c>
      <c r="L18" s="21">
        <v>0.1</v>
      </c>
      <c r="M18" s="21"/>
      <c r="V18" s="20" t="s">
        <v>170</v>
      </c>
      <c r="W18" s="23">
        <f>ROUND(F18*I18*L18, 2)</f>
        <v>14.3</v>
      </c>
      <c r="X18" s="23"/>
      <c r="Y18" s="24"/>
    </row>
    <row r="20" spans="1:26">
      <c r="E20" s="19" t="s">
        <v>176</v>
      </c>
      <c r="F20" s="21">
        <v>4.8</v>
      </c>
      <c r="G20" s="21"/>
      <c r="H20" s="20" t="s">
        <v>167</v>
      </c>
      <c r="I20" s="21">
        <v>27.1</v>
      </c>
      <c r="J20" s="21"/>
      <c r="K20" s="20" t="s">
        <v>167</v>
      </c>
      <c r="L20" s="21">
        <v>0.1</v>
      </c>
      <c r="M20" s="21"/>
      <c r="V20" s="20" t="s">
        <v>170</v>
      </c>
      <c r="W20" s="23">
        <f>ROUND(F20*I20*L20, 2)</f>
        <v>13.01</v>
      </c>
      <c r="X20" s="23"/>
      <c r="Y20" s="24"/>
    </row>
    <row r="21" spans="1:26">
      <c r="B21" s="18"/>
    </row>
    <row r="22" spans="1:26">
      <c r="E22" s="19" t="s">
        <v>177</v>
      </c>
      <c r="F22" s="21">
        <v>4.8</v>
      </c>
      <c r="G22" s="21"/>
      <c r="H22" s="29" t="s">
        <v>167</v>
      </c>
      <c r="I22" s="21">
        <v>2.2999999999999998</v>
      </c>
      <c r="J22" s="21"/>
      <c r="K22" s="29" t="s">
        <v>167</v>
      </c>
      <c r="L22" s="21">
        <v>0.1</v>
      </c>
      <c r="M22" s="21"/>
      <c r="N22" s="29"/>
      <c r="O22" s="29"/>
      <c r="P22" s="20"/>
      <c r="Q22" s="33"/>
      <c r="R22" s="33"/>
      <c r="S22" s="20"/>
      <c r="T22" s="33"/>
      <c r="U22" s="33"/>
      <c r="V22" s="20" t="s">
        <v>170</v>
      </c>
      <c r="W22" s="23">
        <f>ROUND(F22*I22*L22, 2)</f>
        <v>1.1000000000000001</v>
      </c>
      <c r="X22" s="23"/>
      <c r="Y22" s="24"/>
    </row>
    <row r="24" spans="1:26">
      <c r="F24" s="20"/>
      <c r="G24" s="20"/>
      <c r="H24" s="29"/>
      <c r="I24" s="29"/>
      <c r="J24" s="20"/>
      <c r="K24" s="33"/>
      <c r="L24" s="33"/>
      <c r="M24" s="20"/>
      <c r="N24" s="29"/>
      <c r="O24" s="29"/>
      <c r="P24" s="20"/>
      <c r="Q24" s="33"/>
      <c r="R24" s="33"/>
      <c r="S24" s="20"/>
      <c r="T24" s="29"/>
      <c r="U24" s="29"/>
    </row>
    <row r="25" spans="1:26">
      <c r="Y25" s="26" t="s">
        <v>178</v>
      </c>
      <c r="Z25" s="27">
        <f>SUM(W6,W8,W14,W16,W18,W20,W22)</f>
        <v>278.53000000000003</v>
      </c>
    </row>
    <row r="26" spans="1:26">
      <c r="F26" s="20"/>
      <c r="V26" s="20"/>
      <c r="W26" s="31"/>
      <c r="X26" s="31"/>
      <c r="Y26" s="32"/>
    </row>
    <row r="28" spans="1:26">
      <c r="A28" s="17" t="s">
        <v>13</v>
      </c>
    </row>
    <row r="29" spans="1:26">
      <c r="B29" s="18" t="s">
        <v>179</v>
      </c>
    </row>
    <row r="30" spans="1:26">
      <c r="E30" s="19" t="s">
        <v>180</v>
      </c>
      <c r="F30" s="29" t="s">
        <v>166</v>
      </c>
      <c r="G30" s="21">
        <v>0.3</v>
      </c>
      <c r="H30" s="21"/>
      <c r="I30" s="35">
        <v>2</v>
      </c>
      <c r="J30" s="29" t="s">
        <v>167</v>
      </c>
      <c r="K30" s="21">
        <v>4.95</v>
      </c>
      <c r="L30" s="21"/>
      <c r="M30" s="29" t="s">
        <v>168</v>
      </c>
      <c r="N30" s="20" t="s">
        <v>166</v>
      </c>
      <c r="O30" s="21">
        <v>0.3</v>
      </c>
      <c r="P30" s="21"/>
      <c r="Q30" s="36">
        <v>2</v>
      </c>
      <c r="R30" s="20" t="s">
        <v>168</v>
      </c>
      <c r="S30" s="21">
        <v>0.3</v>
      </c>
      <c r="T30" s="21"/>
      <c r="U30" s="36">
        <v>2</v>
      </c>
      <c r="V30" s="20"/>
      <c r="W30" s="31"/>
      <c r="X30" s="31"/>
      <c r="Y30" s="32"/>
    </row>
    <row r="32" spans="1:26">
      <c r="F32" s="20" t="s">
        <v>169</v>
      </c>
      <c r="G32" s="20" t="s">
        <v>167</v>
      </c>
      <c r="H32" s="25">
        <v>1</v>
      </c>
      <c r="I32" s="25"/>
      <c r="J32" s="20" t="s">
        <v>173</v>
      </c>
      <c r="K32" s="25">
        <v>2</v>
      </c>
      <c r="L32" s="25"/>
      <c r="M32" s="20" t="s">
        <v>167</v>
      </c>
      <c r="N32" s="21">
        <v>0</v>
      </c>
      <c r="O32" s="21"/>
      <c r="P32" s="20" t="s">
        <v>167</v>
      </c>
      <c r="Q32" s="22">
        <v>60</v>
      </c>
      <c r="R32" s="22"/>
      <c r="S32" s="20" t="s">
        <v>169</v>
      </c>
      <c r="V32" s="20" t="s">
        <v>170</v>
      </c>
      <c r="W32" s="23">
        <f>ROUND((G30^2*K30+(O30^2+S30^2)*H32/K32*N32*Q32), 2)</f>
        <v>0.45</v>
      </c>
      <c r="X32" s="23"/>
      <c r="Y32" s="24"/>
    </row>
    <row r="33" spans="1:26">
      <c r="B33" s="18"/>
    </row>
    <row r="34" spans="1:26">
      <c r="E34" s="19"/>
      <c r="F34" s="29"/>
      <c r="G34" s="29"/>
      <c r="H34" s="20"/>
      <c r="I34" s="29"/>
      <c r="J34" s="29"/>
      <c r="K34" s="20"/>
      <c r="L34" s="29"/>
      <c r="M34" s="29"/>
      <c r="V34" s="20"/>
      <c r="W34" s="31"/>
      <c r="X34" s="31"/>
      <c r="Y34" s="32"/>
    </row>
    <row r="35" spans="1:26">
      <c r="B35" s="18" t="s">
        <v>181</v>
      </c>
    </row>
    <row r="36" spans="1:26">
      <c r="E36" s="19" t="s">
        <v>182</v>
      </c>
      <c r="F36" s="20" t="s">
        <v>166</v>
      </c>
      <c r="G36" s="21">
        <v>12.6</v>
      </c>
      <c r="H36" s="21"/>
      <c r="I36" s="20" t="s">
        <v>167</v>
      </c>
      <c r="J36" s="21">
        <v>0.2</v>
      </c>
      <c r="K36" s="21"/>
      <c r="L36" s="20" t="s">
        <v>167</v>
      </c>
      <c r="M36" s="21">
        <v>1.7</v>
      </c>
      <c r="N36" s="21"/>
      <c r="O36" s="20" t="s">
        <v>167</v>
      </c>
      <c r="P36" s="22">
        <v>2</v>
      </c>
      <c r="Q36" s="22"/>
      <c r="R36" s="20" t="s">
        <v>169</v>
      </c>
      <c r="S36" s="20" t="s">
        <v>168</v>
      </c>
    </row>
    <row r="37" spans="1:26">
      <c r="B37" s="18"/>
    </row>
    <row r="38" spans="1:26">
      <c r="E38" s="19"/>
      <c r="F38" s="29" t="s">
        <v>166</v>
      </c>
      <c r="G38" s="21">
        <v>2.5</v>
      </c>
      <c r="H38" s="21"/>
      <c r="I38" s="29" t="s">
        <v>167</v>
      </c>
      <c r="J38" s="21">
        <v>0.2</v>
      </c>
      <c r="K38" s="21"/>
      <c r="L38" s="29" t="s">
        <v>167</v>
      </c>
      <c r="M38" s="21">
        <v>1.7</v>
      </c>
      <c r="N38" s="21"/>
      <c r="O38" s="20" t="s">
        <v>167</v>
      </c>
      <c r="P38" s="22">
        <v>2</v>
      </c>
      <c r="Q38" s="22"/>
      <c r="R38" s="20" t="s">
        <v>169</v>
      </c>
      <c r="S38" s="20" t="s">
        <v>168</v>
      </c>
      <c r="T38" s="21">
        <v>5.6</v>
      </c>
      <c r="U38" s="21"/>
      <c r="V38" s="20"/>
      <c r="W38" s="31"/>
      <c r="X38" s="31"/>
      <c r="Y38" s="32"/>
    </row>
    <row r="40" spans="1:26">
      <c r="F40" s="20" t="s">
        <v>167</v>
      </c>
      <c r="G40" s="21">
        <v>0.2</v>
      </c>
      <c r="H40" s="21"/>
      <c r="I40" s="20" t="s">
        <v>167</v>
      </c>
      <c r="J40" s="21">
        <v>1.7</v>
      </c>
      <c r="K40" s="21"/>
      <c r="V40" s="20" t="s">
        <v>170</v>
      </c>
      <c r="W40" s="23">
        <f>ROUND((G36*J36*M36*P36)+(G38*J38*M38*P38)+T38*G40*J40, 2)</f>
        <v>12.17</v>
      </c>
      <c r="X40" s="23"/>
      <c r="Y40" s="24"/>
    </row>
    <row r="41" spans="1:26">
      <c r="Y41" s="26"/>
      <c r="Z41" s="34"/>
    </row>
    <row r="42" spans="1:26">
      <c r="E42" s="19" t="s">
        <v>183</v>
      </c>
      <c r="F42" s="21">
        <v>30</v>
      </c>
      <c r="G42" s="21"/>
      <c r="H42" s="20" t="s">
        <v>167</v>
      </c>
      <c r="I42" s="21">
        <v>4.95</v>
      </c>
      <c r="J42" s="21"/>
      <c r="K42" s="20" t="s">
        <v>167</v>
      </c>
      <c r="L42" s="21">
        <v>0.2</v>
      </c>
      <c r="M42" s="21"/>
      <c r="V42" s="20" t="s">
        <v>170</v>
      </c>
      <c r="W42" s="23">
        <f>ROUND(F42*I42*L42, 2)</f>
        <v>29.7</v>
      </c>
      <c r="X42" s="23"/>
      <c r="Y42" s="24"/>
    </row>
    <row r="44" spans="1:26">
      <c r="A44" s="18"/>
      <c r="E44" s="19" t="s">
        <v>184</v>
      </c>
      <c r="F44" s="21">
        <v>5</v>
      </c>
      <c r="G44" s="21"/>
      <c r="H44" s="20" t="s">
        <v>167</v>
      </c>
      <c r="I44" s="21">
        <v>2.65</v>
      </c>
      <c r="J44" s="21"/>
      <c r="K44" s="20" t="s">
        <v>167</v>
      </c>
      <c r="L44" s="21">
        <v>0.2</v>
      </c>
      <c r="M44" s="21"/>
      <c r="V44" s="20" t="s">
        <v>170</v>
      </c>
      <c r="W44" s="23">
        <f>ROUND(F44*I44*L44, 2)</f>
        <v>2.65</v>
      </c>
      <c r="X44" s="23"/>
      <c r="Y44" s="24"/>
    </row>
    <row r="45" spans="1:26">
      <c r="B45" s="18"/>
    </row>
    <row r="46" spans="1:26">
      <c r="E46" s="19" t="s">
        <v>185</v>
      </c>
      <c r="F46" s="21">
        <v>30</v>
      </c>
      <c r="G46" s="21"/>
      <c r="H46" s="29" t="s">
        <v>167</v>
      </c>
      <c r="I46" s="21">
        <v>4.95</v>
      </c>
      <c r="J46" s="21"/>
      <c r="K46" s="29" t="s">
        <v>167</v>
      </c>
      <c r="L46" s="21">
        <v>0.2</v>
      </c>
      <c r="M46" s="21"/>
      <c r="N46" s="29"/>
      <c r="O46" s="29"/>
      <c r="P46" s="20"/>
      <c r="Q46" s="29"/>
      <c r="R46" s="29"/>
      <c r="S46" s="20"/>
      <c r="T46" s="29"/>
      <c r="U46" s="29"/>
      <c r="V46" s="20" t="s">
        <v>170</v>
      </c>
      <c r="W46" s="23">
        <f>ROUND(F46*I46*L46, 2)</f>
        <v>29.7</v>
      </c>
      <c r="X46" s="23"/>
      <c r="Y46" s="24"/>
    </row>
    <row r="48" spans="1:26">
      <c r="E48" s="19" t="s">
        <v>186</v>
      </c>
      <c r="F48" s="21">
        <v>50.6</v>
      </c>
      <c r="G48" s="21"/>
      <c r="H48" s="29" t="s">
        <v>167</v>
      </c>
      <c r="I48" s="21">
        <v>4.95</v>
      </c>
      <c r="J48" s="21"/>
      <c r="K48" s="29" t="s">
        <v>167</v>
      </c>
      <c r="L48" s="21">
        <v>0.2</v>
      </c>
      <c r="M48" s="21"/>
      <c r="N48" s="30"/>
      <c r="O48" s="30"/>
      <c r="P48" s="20"/>
      <c r="V48" s="20" t="s">
        <v>170</v>
      </c>
      <c r="W48" s="23">
        <f>ROUND(F48*I48*L48, 2)</f>
        <v>50.09</v>
      </c>
      <c r="X48" s="23"/>
      <c r="Y48" s="24"/>
    </row>
    <row r="50" spans="2:25">
      <c r="E50" s="19" t="s">
        <v>187</v>
      </c>
      <c r="F50" s="20" t="s">
        <v>166</v>
      </c>
      <c r="G50" s="21">
        <v>10.1</v>
      </c>
      <c r="H50" s="21"/>
      <c r="I50" s="20" t="s">
        <v>167</v>
      </c>
      <c r="J50" s="21">
        <v>4.95</v>
      </c>
      <c r="K50" s="21"/>
      <c r="L50" s="20" t="s">
        <v>167</v>
      </c>
      <c r="M50" s="21">
        <v>0.2</v>
      </c>
      <c r="N50" s="21"/>
      <c r="O50" s="20" t="s">
        <v>167</v>
      </c>
      <c r="P50" s="22">
        <v>2</v>
      </c>
      <c r="Q50" s="22"/>
      <c r="R50" s="20" t="s">
        <v>169</v>
      </c>
      <c r="V50" s="20" t="s">
        <v>170</v>
      </c>
      <c r="W50" s="23">
        <f>ROUND((G50*J50*M50*P50), 2)</f>
        <v>20</v>
      </c>
      <c r="X50" s="23"/>
      <c r="Y50" s="24"/>
    </row>
    <row r="51" spans="2:25">
      <c r="B51" s="18"/>
    </row>
    <row r="52" spans="2:25">
      <c r="E52" s="19" t="s">
        <v>188</v>
      </c>
      <c r="F52" s="20" t="s">
        <v>166</v>
      </c>
      <c r="G52" s="21">
        <v>12.6</v>
      </c>
      <c r="H52" s="21"/>
      <c r="I52" s="20" t="s">
        <v>167</v>
      </c>
      <c r="J52" s="21">
        <v>4.95</v>
      </c>
      <c r="K52" s="21"/>
      <c r="L52" s="20" t="s">
        <v>167</v>
      </c>
      <c r="M52" s="21">
        <v>0.2</v>
      </c>
      <c r="N52" s="21"/>
      <c r="O52" s="20" t="s">
        <v>167</v>
      </c>
      <c r="P52" s="22">
        <v>2</v>
      </c>
      <c r="Q52" s="22"/>
      <c r="R52" s="20" t="s">
        <v>169</v>
      </c>
      <c r="S52" s="20" t="s">
        <v>168</v>
      </c>
      <c r="T52" s="21">
        <v>5.2</v>
      </c>
      <c r="U52" s="21"/>
      <c r="V52" s="20"/>
      <c r="W52" s="31"/>
      <c r="X52" s="31"/>
      <c r="Y52" s="32"/>
    </row>
    <row r="54" spans="2:25">
      <c r="F54" s="20" t="s">
        <v>167</v>
      </c>
      <c r="G54" s="21">
        <v>6.95</v>
      </c>
      <c r="H54" s="21"/>
      <c r="I54" s="20" t="s">
        <v>167</v>
      </c>
      <c r="J54" s="21">
        <v>0.2</v>
      </c>
      <c r="K54" s="21"/>
      <c r="V54" s="20" t="s">
        <v>170</v>
      </c>
      <c r="W54" s="23">
        <f>ROUND((G52*J52*M52*P52)+T52*G54*J54, 2)</f>
        <v>32.18</v>
      </c>
      <c r="X54" s="23"/>
      <c r="Y54" s="24"/>
    </row>
    <row r="55" spans="2:25">
      <c r="B55" s="18"/>
    </row>
    <row r="56" spans="2:25">
      <c r="E56" s="19" t="s">
        <v>189</v>
      </c>
      <c r="F56" s="21">
        <v>27.5</v>
      </c>
      <c r="G56" s="21"/>
      <c r="H56" s="20" t="s">
        <v>167</v>
      </c>
      <c r="I56" s="21">
        <v>4.95</v>
      </c>
      <c r="J56" s="21"/>
      <c r="K56" s="20" t="s">
        <v>167</v>
      </c>
      <c r="L56" s="21">
        <v>0.2</v>
      </c>
      <c r="M56" s="21"/>
      <c r="N56" s="20" t="s">
        <v>168</v>
      </c>
      <c r="O56" s="21">
        <v>2.5</v>
      </c>
      <c r="P56" s="21"/>
      <c r="Q56" s="20" t="s">
        <v>167</v>
      </c>
      <c r="R56" s="21">
        <v>6.95</v>
      </c>
      <c r="S56" s="21"/>
      <c r="T56" s="20" t="s">
        <v>167</v>
      </c>
      <c r="V56" s="20"/>
      <c r="W56" s="31"/>
      <c r="X56" s="31"/>
      <c r="Y56" s="32"/>
    </row>
    <row r="58" spans="2:25">
      <c r="F58" s="21">
        <v>0.2</v>
      </c>
      <c r="G58" s="21"/>
      <c r="V58" s="20" t="s">
        <v>170</v>
      </c>
      <c r="W58" s="23">
        <f>ROUND(F56*I56*L56+O56*R56*F58, 2)</f>
        <v>30.7</v>
      </c>
      <c r="X58" s="23"/>
      <c r="Y58" s="24"/>
    </row>
    <row r="59" spans="2:25">
      <c r="B59" s="18"/>
    </row>
    <row r="60" spans="2:25">
      <c r="E60" s="19" t="s">
        <v>190</v>
      </c>
      <c r="F60" s="21">
        <v>5</v>
      </c>
      <c r="G60" s="21"/>
      <c r="H60" s="20" t="s">
        <v>167</v>
      </c>
      <c r="I60" s="21">
        <v>6.95</v>
      </c>
      <c r="J60" s="21"/>
      <c r="K60" s="20" t="s">
        <v>167</v>
      </c>
      <c r="L60" s="21">
        <v>0.2</v>
      </c>
      <c r="M60" s="21"/>
      <c r="V60" s="20" t="s">
        <v>170</v>
      </c>
      <c r="W60" s="23">
        <f>ROUND(F60*I60*L60, 2)</f>
        <v>6.95</v>
      </c>
      <c r="X60" s="23"/>
      <c r="Y60" s="24"/>
    </row>
    <row r="62" spans="2:25">
      <c r="E62" s="19" t="s">
        <v>191</v>
      </c>
      <c r="F62" s="21">
        <v>5</v>
      </c>
      <c r="G62" s="21"/>
      <c r="H62" s="20" t="s">
        <v>167</v>
      </c>
      <c r="I62" s="21">
        <v>6.95</v>
      </c>
      <c r="J62" s="21"/>
      <c r="K62" s="20" t="s">
        <v>167</v>
      </c>
      <c r="L62" s="21">
        <v>0.2</v>
      </c>
      <c r="M62" s="21"/>
      <c r="V62" s="20" t="s">
        <v>170</v>
      </c>
      <c r="W62" s="23">
        <f>ROUND(F62*I62*L62, 2)</f>
        <v>6.95</v>
      </c>
      <c r="X62" s="23"/>
      <c r="Y62" s="24"/>
    </row>
    <row r="63" spans="2:25">
      <c r="B63" s="18"/>
    </row>
    <row r="64" spans="2:25">
      <c r="E64" s="19" t="s">
        <v>192</v>
      </c>
      <c r="F64" s="21">
        <v>30.4</v>
      </c>
      <c r="G64" s="21"/>
      <c r="H64" s="29" t="s">
        <v>167</v>
      </c>
      <c r="I64" s="21">
        <v>6.95</v>
      </c>
      <c r="J64" s="21"/>
      <c r="K64" s="29" t="s">
        <v>167</v>
      </c>
      <c r="L64" s="21">
        <v>0.2</v>
      </c>
      <c r="M64" s="21"/>
      <c r="N64" s="20"/>
      <c r="O64" s="29"/>
      <c r="P64" s="29"/>
      <c r="Q64" s="20"/>
      <c r="R64" s="20"/>
      <c r="S64" s="29"/>
      <c r="T64" s="29"/>
      <c r="U64" s="20"/>
      <c r="V64" s="20" t="s">
        <v>170</v>
      </c>
      <c r="W64" s="23">
        <f>ROUND(F64*I64*L64, 2)</f>
        <v>42.26</v>
      </c>
      <c r="X64" s="23"/>
      <c r="Y64" s="24"/>
    </row>
    <row r="66" spans="2:25">
      <c r="F66" s="20"/>
      <c r="G66" s="20"/>
      <c r="H66" s="33"/>
      <c r="I66" s="33"/>
      <c r="J66" s="20"/>
      <c r="K66" s="33"/>
      <c r="L66" s="33"/>
      <c r="M66" s="20"/>
      <c r="N66" s="29"/>
      <c r="O66" s="29"/>
      <c r="P66" s="20"/>
      <c r="Q66" s="30"/>
      <c r="R66" s="30"/>
      <c r="S66" s="20"/>
      <c r="V66" s="20"/>
      <c r="W66" s="31"/>
      <c r="X66" s="31"/>
      <c r="Y66" s="32"/>
    </row>
    <row r="67" spans="2:25">
      <c r="B67" s="18" t="s">
        <v>193</v>
      </c>
    </row>
    <row r="68" spans="2:25">
      <c r="E68" s="19" t="s">
        <v>194</v>
      </c>
      <c r="F68" s="20" t="s">
        <v>166</v>
      </c>
      <c r="G68" s="21">
        <v>3.95</v>
      </c>
      <c r="H68" s="21"/>
      <c r="I68" s="20" t="s">
        <v>167</v>
      </c>
      <c r="J68" s="21">
        <v>0.4</v>
      </c>
      <c r="K68" s="21"/>
      <c r="L68" s="20" t="s">
        <v>167</v>
      </c>
      <c r="M68" s="21">
        <v>0.5</v>
      </c>
      <c r="N68" s="21"/>
      <c r="O68" s="20" t="s">
        <v>167</v>
      </c>
      <c r="P68" s="22">
        <v>48</v>
      </c>
      <c r="Q68" s="22"/>
      <c r="R68" s="20" t="s">
        <v>169</v>
      </c>
      <c r="S68" s="20" t="s">
        <v>168</v>
      </c>
    </row>
    <row r="69" spans="2:25">
      <c r="B69" s="18"/>
    </row>
    <row r="70" spans="2:25">
      <c r="E70" s="19"/>
      <c r="F70" s="20" t="s">
        <v>166</v>
      </c>
      <c r="G70" s="21">
        <v>4.0999999999999996</v>
      </c>
      <c r="H70" s="21"/>
      <c r="I70" s="20" t="s">
        <v>167</v>
      </c>
      <c r="J70" s="21">
        <v>0.4</v>
      </c>
      <c r="K70" s="21"/>
      <c r="L70" s="20" t="s">
        <v>167</v>
      </c>
      <c r="M70" s="21">
        <v>0.5</v>
      </c>
      <c r="N70" s="21"/>
      <c r="O70" s="20" t="s">
        <v>167</v>
      </c>
      <c r="P70" s="22">
        <v>50</v>
      </c>
      <c r="Q70" s="22"/>
      <c r="R70" s="20" t="s">
        <v>169</v>
      </c>
      <c r="S70" s="20" t="s">
        <v>168</v>
      </c>
    </row>
    <row r="72" spans="2:25">
      <c r="F72" s="20" t="s">
        <v>166</v>
      </c>
      <c r="G72" s="21">
        <v>3.85</v>
      </c>
      <c r="H72" s="21"/>
      <c r="I72" s="20" t="s">
        <v>167</v>
      </c>
      <c r="J72" s="21">
        <v>0.4</v>
      </c>
      <c r="K72" s="21"/>
      <c r="L72" s="20" t="s">
        <v>167</v>
      </c>
      <c r="M72" s="21">
        <v>0.5</v>
      </c>
      <c r="N72" s="21"/>
      <c r="O72" s="20" t="s">
        <v>167</v>
      </c>
      <c r="P72" s="22">
        <v>44</v>
      </c>
      <c r="Q72" s="22"/>
      <c r="R72" s="20" t="s">
        <v>169</v>
      </c>
      <c r="S72" s="20"/>
      <c r="V72" s="20" t="s">
        <v>170</v>
      </c>
      <c r="W72" s="23">
        <f>ROUND((G68*J68*M68*P68)+(G70*J70*M70*P70)+(G72*J72*M72*P72), 2)</f>
        <v>112.8</v>
      </c>
      <c r="X72" s="23"/>
      <c r="Y72" s="24"/>
    </row>
    <row r="74" spans="2:25">
      <c r="F74" s="20"/>
      <c r="G74" s="29"/>
      <c r="H74" s="29"/>
      <c r="I74" s="20"/>
      <c r="J74" s="29"/>
      <c r="K74" s="29"/>
      <c r="L74" s="20"/>
      <c r="M74" s="29"/>
      <c r="N74" s="29"/>
      <c r="O74" s="20"/>
      <c r="P74" s="30"/>
      <c r="Q74" s="30"/>
      <c r="R74" s="20"/>
      <c r="S74" s="20"/>
    </row>
    <row r="75" spans="2:25">
      <c r="B75" s="18" t="s">
        <v>164</v>
      </c>
    </row>
    <row r="76" spans="2:25">
      <c r="E76" s="19" t="s">
        <v>195</v>
      </c>
      <c r="F76" s="20" t="s">
        <v>166</v>
      </c>
      <c r="G76" s="29" t="s">
        <v>166</v>
      </c>
      <c r="H76" s="21">
        <v>27.7</v>
      </c>
      <c r="I76" s="21"/>
      <c r="J76" s="29" t="s">
        <v>167</v>
      </c>
      <c r="K76" s="21">
        <v>25.3</v>
      </c>
      <c r="L76" s="21"/>
      <c r="M76" s="29" t="s">
        <v>168</v>
      </c>
      <c r="N76" s="21">
        <v>2.7</v>
      </c>
      <c r="O76" s="21"/>
      <c r="P76" s="30" t="s">
        <v>167</v>
      </c>
      <c r="Q76" s="21">
        <v>22.7</v>
      </c>
      <c r="R76" s="21"/>
      <c r="S76" s="20" t="s">
        <v>168</v>
      </c>
      <c r="T76" s="21">
        <v>0</v>
      </c>
      <c r="U76" s="21"/>
      <c r="V76" s="20"/>
      <c r="W76" s="31"/>
      <c r="X76" s="31"/>
      <c r="Y76" s="32"/>
    </row>
    <row r="78" spans="2:25">
      <c r="F78" s="20" t="s">
        <v>167</v>
      </c>
      <c r="G78" s="21">
        <v>0</v>
      </c>
      <c r="H78" s="21"/>
      <c r="I78" s="20" t="s">
        <v>169</v>
      </c>
      <c r="J78" s="20" t="s">
        <v>167</v>
      </c>
      <c r="K78" s="21">
        <v>0.3</v>
      </c>
      <c r="L78" s="21"/>
      <c r="M78" s="20" t="s">
        <v>167</v>
      </c>
      <c r="N78" s="22">
        <v>2</v>
      </c>
      <c r="O78" s="22"/>
      <c r="P78" s="20" t="s">
        <v>169</v>
      </c>
      <c r="V78" s="20" t="s">
        <v>170</v>
      </c>
      <c r="W78" s="23">
        <f>ROUND(((H76*K76+N76*Q76+T76*G78)*K78*N78), 2)</f>
        <v>457.26</v>
      </c>
      <c r="X78" s="23"/>
      <c r="Y78" s="24"/>
    </row>
    <row r="79" spans="2:25">
      <c r="B79" s="18"/>
    </row>
    <row r="80" spans="2:25">
      <c r="E80" s="19" t="s">
        <v>196</v>
      </c>
      <c r="F80" s="21">
        <v>2.7</v>
      </c>
      <c r="G80" s="21"/>
      <c r="H80" s="29" t="s">
        <v>167</v>
      </c>
      <c r="I80" s="21">
        <v>5.6</v>
      </c>
      <c r="J80" s="21"/>
      <c r="K80" s="29" t="s">
        <v>167</v>
      </c>
      <c r="L80" s="21">
        <v>0.3</v>
      </c>
      <c r="M80" s="21"/>
      <c r="N80" s="29"/>
      <c r="O80" s="20"/>
      <c r="P80" s="30"/>
      <c r="Q80" s="30"/>
      <c r="R80" s="20"/>
      <c r="V80" s="20" t="s">
        <v>170</v>
      </c>
      <c r="W80" s="23">
        <f>ROUND(F80*I80*L80, 2)</f>
        <v>4.54</v>
      </c>
      <c r="X80" s="23"/>
      <c r="Y80" s="24"/>
    </row>
    <row r="82" spans="1:26">
      <c r="E82" s="19" t="s">
        <v>197</v>
      </c>
      <c r="F82" s="21">
        <v>5.4</v>
      </c>
      <c r="G82" s="21"/>
      <c r="H82" s="20" t="s">
        <v>167</v>
      </c>
      <c r="I82" s="21">
        <v>30.4</v>
      </c>
      <c r="J82" s="21"/>
      <c r="K82" s="20" t="s">
        <v>167</v>
      </c>
      <c r="L82" s="21">
        <v>0.3</v>
      </c>
      <c r="M82" s="21"/>
      <c r="V82" s="20" t="s">
        <v>170</v>
      </c>
      <c r="W82" s="23">
        <f>ROUND(F82*I82*L82, 2)</f>
        <v>49.25</v>
      </c>
      <c r="X82" s="23"/>
      <c r="Y82" s="24"/>
    </row>
    <row r="83" spans="1:26">
      <c r="B83" s="18"/>
    </row>
    <row r="84" spans="1:26">
      <c r="E84" s="19" t="s">
        <v>198</v>
      </c>
      <c r="F84" s="21">
        <v>5</v>
      </c>
      <c r="G84" s="21"/>
      <c r="H84" s="20" t="s">
        <v>167</v>
      </c>
      <c r="I84" s="21">
        <v>30</v>
      </c>
      <c r="J84" s="21"/>
      <c r="K84" s="20" t="s">
        <v>167</v>
      </c>
      <c r="L84" s="21">
        <v>0.3</v>
      </c>
      <c r="M84" s="21"/>
      <c r="V84" s="20" t="s">
        <v>170</v>
      </c>
      <c r="W84" s="23">
        <f>ROUND(F84*I84*L84, 2)</f>
        <v>45</v>
      </c>
      <c r="X84" s="23"/>
      <c r="Y84" s="24"/>
    </row>
    <row r="86" spans="1:26">
      <c r="E86" s="19" t="s">
        <v>199</v>
      </c>
      <c r="F86" s="29" t="s">
        <v>166</v>
      </c>
      <c r="G86" s="21">
        <v>30.4</v>
      </c>
      <c r="H86" s="21"/>
      <c r="I86" s="29" t="s">
        <v>167</v>
      </c>
      <c r="J86" s="21">
        <v>25.3</v>
      </c>
      <c r="K86" s="21"/>
      <c r="L86" s="29" t="s">
        <v>167</v>
      </c>
      <c r="M86" s="21">
        <v>0.3</v>
      </c>
      <c r="N86" s="21"/>
      <c r="O86" s="20" t="s">
        <v>167</v>
      </c>
      <c r="P86" s="22">
        <v>2</v>
      </c>
      <c r="Q86" s="22"/>
      <c r="R86" s="20" t="s">
        <v>169</v>
      </c>
      <c r="V86" s="20" t="s">
        <v>170</v>
      </c>
      <c r="W86" s="23">
        <f>ROUND((G86*J86*M86*P86), 2)</f>
        <v>461.47</v>
      </c>
      <c r="X86" s="23"/>
      <c r="Y86" s="24"/>
    </row>
    <row r="88" spans="1:26">
      <c r="E88" s="19" t="s">
        <v>200</v>
      </c>
      <c r="F88" s="21">
        <v>5.2</v>
      </c>
      <c r="G88" s="21"/>
      <c r="H88" s="20" t="s">
        <v>167</v>
      </c>
      <c r="I88" s="21">
        <v>30.4</v>
      </c>
      <c r="J88" s="21"/>
      <c r="K88" s="20" t="s">
        <v>167</v>
      </c>
      <c r="L88" s="21">
        <v>0.3</v>
      </c>
      <c r="M88" s="21"/>
      <c r="V88" s="20" t="s">
        <v>170</v>
      </c>
      <c r="W88" s="23">
        <f>ROUND(F88*I88*L88, 2)</f>
        <v>47.42</v>
      </c>
      <c r="X88" s="23"/>
      <c r="Y88" s="24"/>
    </row>
    <row r="90" spans="1:26">
      <c r="E90" s="19"/>
      <c r="F90" s="20"/>
      <c r="G90" s="29"/>
      <c r="H90" s="29"/>
      <c r="I90" s="20"/>
      <c r="J90" s="29"/>
      <c r="K90" s="29"/>
      <c r="L90" s="20"/>
      <c r="M90" s="29"/>
      <c r="N90" s="29"/>
      <c r="O90" s="20"/>
      <c r="P90" s="30"/>
      <c r="Q90" s="30"/>
      <c r="R90" s="20"/>
      <c r="V90" s="20"/>
      <c r="W90" s="31"/>
      <c r="X90" s="31"/>
      <c r="Y90" s="32"/>
    </row>
    <row r="91" spans="1:26">
      <c r="Y91" s="26" t="s">
        <v>178</v>
      </c>
      <c r="Z91" s="27">
        <f>SUM(W32,W40,W42,W44,W46,W48,W50,W54,W58,W60,W62,W64,W72,W78,W80,W82,W84,W86,W88)</f>
        <v>1441.54</v>
      </c>
    </row>
    <row r="92" spans="1:26">
      <c r="E92" s="19"/>
      <c r="F92" s="20"/>
      <c r="G92" s="29"/>
      <c r="H92" s="29"/>
      <c r="I92" s="20"/>
      <c r="J92" s="29"/>
      <c r="K92" s="29"/>
      <c r="L92" s="20"/>
      <c r="M92" s="29"/>
      <c r="N92" s="29"/>
      <c r="O92" s="20"/>
      <c r="P92" s="30"/>
      <c r="Q92" s="30"/>
      <c r="R92" s="20"/>
      <c r="S92" s="20"/>
      <c r="T92" s="29"/>
      <c r="U92" s="29"/>
    </row>
    <row r="94" spans="1:26">
      <c r="A94" s="17" t="s">
        <v>201</v>
      </c>
      <c r="F94" s="20"/>
      <c r="G94" s="29"/>
      <c r="H94" s="29"/>
      <c r="I94" s="20"/>
      <c r="J94" s="29"/>
      <c r="K94" s="29"/>
      <c r="V94" s="20"/>
      <c r="W94" s="31"/>
      <c r="X94" s="31"/>
      <c r="Y94" s="32"/>
    </row>
    <row r="95" spans="1:26">
      <c r="B95" s="18" t="s">
        <v>164</v>
      </c>
    </row>
    <row r="96" spans="1:26">
      <c r="E96" s="19" t="s">
        <v>165</v>
      </c>
      <c r="F96" s="29" t="s">
        <v>166</v>
      </c>
      <c r="G96" s="29" t="s">
        <v>166</v>
      </c>
      <c r="H96" s="21">
        <v>25.4</v>
      </c>
      <c r="I96" s="21"/>
      <c r="J96" s="29" t="s">
        <v>168</v>
      </c>
      <c r="K96" s="21">
        <v>30.6</v>
      </c>
      <c r="L96" s="21"/>
      <c r="M96" s="29" t="s">
        <v>168</v>
      </c>
      <c r="N96" s="21">
        <v>10.199999999999999</v>
      </c>
      <c r="O96" s="21"/>
      <c r="P96" s="29" t="s">
        <v>169</v>
      </c>
      <c r="Q96" s="20" t="s">
        <v>167</v>
      </c>
      <c r="R96" s="21">
        <v>0.1</v>
      </c>
      <c r="S96" s="21"/>
      <c r="T96" s="20" t="s">
        <v>167</v>
      </c>
    </row>
    <row r="98" spans="2:25">
      <c r="F98" s="22">
        <v>2</v>
      </c>
      <c r="G98" s="22"/>
      <c r="H98" s="20" t="s">
        <v>169</v>
      </c>
      <c r="V98" s="20" t="s">
        <v>170</v>
      </c>
      <c r="W98" s="23">
        <f>ROUND(((H96+K96+N96)*R96*F98), 2)</f>
        <v>13.24</v>
      </c>
      <c r="X98" s="23"/>
      <c r="Y98" s="24"/>
    </row>
    <row r="100" spans="2:25">
      <c r="E100" s="19" t="s">
        <v>171</v>
      </c>
      <c r="F100" s="29" t="s">
        <v>166</v>
      </c>
      <c r="G100" s="21">
        <v>2.7</v>
      </c>
      <c r="H100" s="21"/>
      <c r="I100" s="29" t="s">
        <v>167</v>
      </c>
      <c r="J100" s="25">
        <v>2</v>
      </c>
      <c r="K100" s="25"/>
      <c r="L100" s="29" t="s">
        <v>168</v>
      </c>
      <c r="M100" s="21">
        <v>5.6</v>
      </c>
      <c r="N100" s="21"/>
      <c r="O100" s="20" t="s">
        <v>169</v>
      </c>
      <c r="P100" s="20" t="s">
        <v>167</v>
      </c>
      <c r="Q100" s="21">
        <v>0.1</v>
      </c>
      <c r="R100" s="21"/>
      <c r="V100" s="20" t="s">
        <v>170</v>
      </c>
      <c r="W100" s="23">
        <f>ROUND((G100*J100+M100)*Q100, 2)</f>
        <v>1.1000000000000001</v>
      </c>
      <c r="X100" s="23"/>
      <c r="Y100" s="24"/>
    </row>
    <row r="102" spans="2:25">
      <c r="E102" s="19" t="s">
        <v>172</v>
      </c>
      <c r="F102" s="29" t="s">
        <v>166</v>
      </c>
      <c r="G102" s="21">
        <v>12.4</v>
      </c>
      <c r="H102" s="21"/>
      <c r="I102" s="29" t="s">
        <v>167</v>
      </c>
      <c r="J102" s="25">
        <v>2</v>
      </c>
      <c r="K102" s="25"/>
      <c r="L102" s="29" t="s">
        <v>168</v>
      </c>
      <c r="M102" s="21">
        <v>2.7</v>
      </c>
      <c r="N102" s="21"/>
      <c r="O102" s="20" t="s">
        <v>167</v>
      </c>
      <c r="P102" s="25">
        <v>2</v>
      </c>
      <c r="Q102" s="25"/>
      <c r="R102" s="20" t="s">
        <v>168</v>
      </c>
      <c r="S102" s="21">
        <v>5.6</v>
      </c>
      <c r="T102" s="21"/>
      <c r="U102" s="20" t="s">
        <v>169</v>
      </c>
      <c r="V102" s="20"/>
      <c r="W102" s="31"/>
      <c r="X102" s="31"/>
      <c r="Y102" s="32"/>
    </row>
    <row r="104" spans="2:25">
      <c r="E104" s="19"/>
      <c r="F104" s="29" t="s">
        <v>167</v>
      </c>
      <c r="G104" s="21">
        <v>2</v>
      </c>
      <c r="H104" s="21"/>
      <c r="I104" s="21"/>
      <c r="J104" s="21"/>
      <c r="K104" s="20"/>
      <c r="L104" s="21"/>
      <c r="M104" s="21"/>
      <c r="V104" s="20" t="s">
        <v>170</v>
      </c>
      <c r="W104" s="23">
        <f>ROUND((G102*J102+M102*P102+S102)*G104, 2)</f>
        <v>71.599999999999994</v>
      </c>
      <c r="X104" s="23"/>
      <c r="Y104" s="24"/>
    </row>
    <row r="106" spans="2:25">
      <c r="E106" s="19" t="s">
        <v>174</v>
      </c>
      <c r="F106" s="29" t="s">
        <v>166</v>
      </c>
      <c r="G106" s="21">
        <v>30.6</v>
      </c>
      <c r="H106" s="21"/>
      <c r="I106" s="29" t="s">
        <v>168</v>
      </c>
      <c r="J106" s="21">
        <v>5.5</v>
      </c>
      <c r="K106" s="21"/>
      <c r="L106" s="29" t="s">
        <v>167</v>
      </c>
      <c r="M106" s="25">
        <v>2</v>
      </c>
      <c r="N106" s="25"/>
      <c r="O106" s="20" t="s">
        <v>169</v>
      </c>
      <c r="P106" s="20" t="s">
        <v>167</v>
      </c>
      <c r="Q106" s="21">
        <v>0.1</v>
      </c>
      <c r="R106" s="21"/>
      <c r="V106" s="20" t="s">
        <v>170</v>
      </c>
      <c r="W106" s="23">
        <f>ROUND((G106+J106*M106)*Q106, 2)</f>
        <v>4.16</v>
      </c>
      <c r="X106" s="23"/>
      <c r="Y106" s="24"/>
    </row>
    <row r="108" spans="2:25">
      <c r="E108" s="19" t="s">
        <v>175</v>
      </c>
      <c r="F108" s="20" t="s">
        <v>166</v>
      </c>
      <c r="G108" s="21">
        <v>29.8</v>
      </c>
      <c r="H108" s="21"/>
      <c r="I108" s="20" t="s">
        <v>167</v>
      </c>
      <c r="J108" s="25">
        <v>2</v>
      </c>
      <c r="K108" s="25"/>
      <c r="L108" s="20" t="s">
        <v>168</v>
      </c>
      <c r="M108" s="21">
        <v>4.8</v>
      </c>
      <c r="N108" s="21"/>
      <c r="O108" s="20" t="s">
        <v>167</v>
      </c>
      <c r="P108" s="25">
        <v>2</v>
      </c>
      <c r="Q108" s="25"/>
      <c r="R108" s="20" t="s">
        <v>169</v>
      </c>
      <c r="S108" s="20" t="s">
        <v>167</v>
      </c>
      <c r="T108" s="21">
        <v>0.1</v>
      </c>
      <c r="U108" s="21"/>
      <c r="V108" s="20" t="s">
        <v>170</v>
      </c>
      <c r="W108" s="23">
        <f>ROUND((G108*J108+M108*P108)*T108, 2)</f>
        <v>6.92</v>
      </c>
      <c r="X108" s="23"/>
      <c r="Y108" s="24"/>
    </row>
    <row r="109" spans="2:25">
      <c r="B109" s="18"/>
    </row>
    <row r="110" spans="2:25">
      <c r="E110" s="19" t="s">
        <v>176</v>
      </c>
      <c r="F110" s="20" t="s">
        <v>166</v>
      </c>
      <c r="G110" s="21">
        <v>27.1</v>
      </c>
      <c r="H110" s="21"/>
      <c r="I110" s="20" t="s">
        <v>167</v>
      </c>
      <c r="J110" s="25">
        <v>2</v>
      </c>
      <c r="K110" s="25"/>
      <c r="L110" s="20" t="s">
        <v>168</v>
      </c>
      <c r="M110" s="21">
        <v>4.8</v>
      </c>
      <c r="N110" s="21"/>
      <c r="O110" s="20" t="s">
        <v>167</v>
      </c>
      <c r="P110" s="25">
        <v>2</v>
      </c>
      <c r="Q110" s="25"/>
      <c r="R110" s="20" t="s">
        <v>169</v>
      </c>
      <c r="S110" s="20" t="s">
        <v>167</v>
      </c>
      <c r="T110" s="21">
        <v>0.1</v>
      </c>
      <c r="U110" s="21"/>
      <c r="V110" s="20" t="s">
        <v>170</v>
      </c>
      <c r="W110" s="23">
        <f>ROUND((G110*J110+M110*P110)*T110, 2)</f>
        <v>6.38</v>
      </c>
      <c r="X110" s="23"/>
      <c r="Y110" s="24"/>
    </row>
    <row r="112" spans="2:25">
      <c r="E112" s="19" t="s">
        <v>177</v>
      </c>
      <c r="F112" s="20" t="s">
        <v>166</v>
      </c>
      <c r="G112" s="21">
        <v>2.2999999999999998</v>
      </c>
      <c r="H112" s="21"/>
      <c r="I112" s="20" t="s">
        <v>167</v>
      </c>
      <c r="J112" s="25">
        <v>2</v>
      </c>
      <c r="K112" s="25"/>
      <c r="L112" s="20" t="s">
        <v>168</v>
      </c>
      <c r="M112" s="21">
        <v>4.8</v>
      </c>
      <c r="N112" s="21"/>
      <c r="O112" s="20" t="s">
        <v>167</v>
      </c>
      <c r="P112" s="25">
        <v>2</v>
      </c>
      <c r="Q112" s="25"/>
      <c r="R112" s="20" t="s">
        <v>169</v>
      </c>
      <c r="S112" s="20" t="s">
        <v>167</v>
      </c>
      <c r="T112" s="21">
        <v>0.1</v>
      </c>
      <c r="U112" s="21"/>
      <c r="V112" s="20" t="s">
        <v>170</v>
      </c>
      <c r="W112" s="23">
        <f>ROUND((G112*J112+M112*P112)*T112, 2)</f>
        <v>1.42</v>
      </c>
      <c r="X112" s="23"/>
      <c r="Y112" s="24"/>
    </row>
    <row r="114" spans="1:26">
      <c r="F114" s="20"/>
      <c r="G114" s="21"/>
      <c r="H114" s="21"/>
      <c r="I114" s="20"/>
      <c r="J114" s="21"/>
      <c r="K114" s="21"/>
      <c r="L114" s="20"/>
      <c r="M114" s="21"/>
      <c r="N114" s="21"/>
      <c r="O114" s="20"/>
      <c r="P114" s="22"/>
      <c r="Q114" s="22"/>
      <c r="R114" s="20"/>
      <c r="V114" s="20"/>
      <c r="W114" s="23"/>
      <c r="X114" s="23"/>
      <c r="Y114" s="24"/>
    </row>
    <row r="115" spans="1:26">
      <c r="Y115" s="26" t="s">
        <v>178</v>
      </c>
      <c r="Z115" s="28">
        <f>SUM(W98,W100,W104,W106,W108,W110,W112)</f>
        <v>104.82</v>
      </c>
    </row>
    <row r="117" spans="1:26">
      <c r="B117" s="18"/>
    </row>
    <row r="118" spans="1:26">
      <c r="A118" s="17" t="s">
        <v>202</v>
      </c>
      <c r="E118" s="19"/>
      <c r="F118" s="21"/>
      <c r="G118" s="21"/>
      <c r="H118" s="20"/>
      <c r="I118" s="21"/>
      <c r="J118" s="21"/>
      <c r="K118" s="20"/>
      <c r="L118" s="21"/>
      <c r="M118" s="21"/>
      <c r="V118" s="20"/>
      <c r="W118" s="23"/>
      <c r="X118" s="23"/>
      <c r="Y118" s="24"/>
    </row>
    <row r="119" spans="1:26">
      <c r="B119" s="18" t="s">
        <v>164</v>
      </c>
    </row>
    <row r="120" spans="1:26">
      <c r="E120" s="19" t="s">
        <v>198</v>
      </c>
      <c r="F120" s="21">
        <v>29</v>
      </c>
      <c r="G120" s="21"/>
      <c r="H120" s="20" t="s">
        <v>167</v>
      </c>
      <c r="I120" s="21">
        <v>4</v>
      </c>
      <c r="J120" s="21"/>
      <c r="V120" s="20" t="s">
        <v>170</v>
      </c>
      <c r="W120" s="23">
        <f>ROUND(F120*I120, 2)</f>
        <v>116</v>
      </c>
      <c r="X120" s="23"/>
      <c r="Y120" s="24"/>
    </row>
    <row r="121" spans="1:26">
      <c r="B121" s="18"/>
    </row>
    <row r="122" spans="1:26">
      <c r="E122" s="19" t="s">
        <v>199</v>
      </c>
      <c r="F122" s="29" t="s">
        <v>166</v>
      </c>
      <c r="G122" s="21">
        <v>24</v>
      </c>
      <c r="H122" s="21"/>
      <c r="I122" s="29" t="s">
        <v>167</v>
      </c>
      <c r="J122" s="21">
        <v>29</v>
      </c>
      <c r="K122" s="21"/>
      <c r="L122" s="29" t="s">
        <v>167</v>
      </c>
      <c r="M122" s="22">
        <v>2</v>
      </c>
      <c r="N122" s="22"/>
      <c r="O122" s="20" t="s">
        <v>169</v>
      </c>
      <c r="V122" s="20" t="s">
        <v>170</v>
      </c>
      <c r="W122" s="23">
        <f>ROUND((G122*J122*M122), 2)</f>
        <v>1392</v>
      </c>
      <c r="X122" s="23"/>
      <c r="Y122" s="24"/>
    </row>
    <row r="124" spans="1:26">
      <c r="E124" s="19" t="s">
        <v>200</v>
      </c>
      <c r="F124" s="21">
        <v>26.3</v>
      </c>
      <c r="G124" s="21"/>
      <c r="H124" s="20" t="s">
        <v>167</v>
      </c>
      <c r="I124" s="21">
        <v>4</v>
      </c>
      <c r="J124" s="21"/>
      <c r="K124" s="20" t="s">
        <v>168</v>
      </c>
      <c r="L124" s="21">
        <v>1.5</v>
      </c>
      <c r="M124" s="21"/>
      <c r="N124" s="20" t="s">
        <v>167</v>
      </c>
      <c r="O124" s="21">
        <v>4</v>
      </c>
      <c r="P124" s="21"/>
      <c r="V124" s="20" t="s">
        <v>170</v>
      </c>
      <c r="W124" s="23">
        <f>ROUND(F124*I124+L124*O124, 2)</f>
        <v>111.2</v>
      </c>
      <c r="X124" s="23"/>
      <c r="Y124" s="24"/>
    </row>
    <row r="125" spans="1:26">
      <c r="Y125" s="26"/>
      <c r="Z125" s="27"/>
    </row>
    <row r="127" spans="1:26">
      <c r="Y127" s="26" t="s">
        <v>178</v>
      </c>
      <c r="Z127" s="28">
        <f>SUM(W120,W122,W124)</f>
        <v>1619.2</v>
      </c>
    </row>
    <row r="128" spans="1:26">
      <c r="A128" s="17"/>
    </row>
    <row r="129" spans="1:25">
      <c r="B129" s="18"/>
    </row>
    <row r="130" spans="1:25">
      <c r="A130" s="17" t="s">
        <v>203</v>
      </c>
      <c r="E130" s="19"/>
      <c r="F130" s="20"/>
      <c r="G130" s="20"/>
      <c r="H130" s="21"/>
      <c r="I130" s="21"/>
      <c r="J130" s="20"/>
      <c r="K130" s="21"/>
      <c r="L130" s="21"/>
      <c r="M130" s="20"/>
      <c r="N130" s="21"/>
      <c r="O130" s="21"/>
      <c r="P130" s="20"/>
      <c r="Q130" s="20"/>
      <c r="R130" s="21"/>
      <c r="S130" s="21"/>
      <c r="T130" s="20"/>
    </row>
    <row r="131" spans="1:25">
      <c r="B131" s="18" t="s">
        <v>179</v>
      </c>
    </row>
    <row r="132" spans="1:25">
      <c r="E132" s="19" t="s">
        <v>180</v>
      </c>
      <c r="F132" s="30" t="s">
        <v>166</v>
      </c>
      <c r="G132" s="30" t="s">
        <v>166</v>
      </c>
      <c r="H132" s="21">
        <v>0.3</v>
      </c>
      <c r="I132" s="21"/>
      <c r="J132" s="20" t="s">
        <v>168</v>
      </c>
      <c r="K132" s="21">
        <v>0.3</v>
      </c>
      <c r="L132" s="21"/>
      <c r="M132" s="20" t="s">
        <v>169</v>
      </c>
      <c r="N132" s="20" t="s">
        <v>167</v>
      </c>
      <c r="O132" s="25">
        <v>1</v>
      </c>
      <c r="P132" s="25"/>
      <c r="Q132" s="20" t="s">
        <v>173</v>
      </c>
      <c r="R132" s="25">
        <v>2</v>
      </c>
      <c r="S132" s="25"/>
      <c r="T132" s="20" t="s">
        <v>167</v>
      </c>
      <c r="V132" s="20"/>
      <c r="W132" s="23"/>
      <c r="X132" s="23"/>
      <c r="Y132" s="24"/>
    </row>
    <row r="134" spans="1:25">
      <c r="F134" s="21">
        <v>0</v>
      </c>
      <c r="G134" s="21"/>
      <c r="H134" s="20" t="s">
        <v>167</v>
      </c>
      <c r="I134" s="25">
        <v>4</v>
      </c>
      <c r="J134" s="25"/>
      <c r="K134" s="20" t="s">
        <v>168</v>
      </c>
      <c r="L134" s="21">
        <v>0.3</v>
      </c>
      <c r="M134" s="21"/>
      <c r="N134" s="20" t="s">
        <v>167</v>
      </c>
      <c r="O134" s="21">
        <v>4.95</v>
      </c>
      <c r="P134" s="21"/>
      <c r="Q134" s="20" t="s">
        <v>167</v>
      </c>
      <c r="R134" s="25">
        <v>4</v>
      </c>
      <c r="S134" s="25"/>
      <c r="T134" s="20" t="s">
        <v>167</v>
      </c>
    </row>
    <row r="135" spans="1:25">
      <c r="B135" s="18"/>
    </row>
    <row r="136" spans="1:25">
      <c r="E136" s="19"/>
      <c r="F136" s="22">
        <v>60</v>
      </c>
      <c r="G136" s="22"/>
      <c r="H136" s="29" t="s">
        <v>169</v>
      </c>
      <c r="I136" s="20"/>
      <c r="J136" s="25"/>
      <c r="K136" s="25"/>
      <c r="L136" s="20"/>
      <c r="M136" s="21"/>
      <c r="N136" s="21"/>
      <c r="O136" s="20"/>
      <c r="P136" s="20"/>
      <c r="Q136" s="21"/>
      <c r="R136" s="21"/>
      <c r="V136" s="20" t="s">
        <v>170</v>
      </c>
      <c r="W136" s="23">
        <f>ROUND(((H132+K132)*O132/R132*F134*I134+L134*O134*R134*F136), 2)</f>
        <v>356.4</v>
      </c>
      <c r="X136" s="23"/>
      <c r="Y136" s="24"/>
    </row>
    <row r="139" spans="1:25">
      <c r="B139" s="18" t="s">
        <v>181</v>
      </c>
    </row>
    <row r="140" spans="1:25">
      <c r="E140" s="19" t="s">
        <v>204</v>
      </c>
      <c r="F140" s="21">
        <v>30</v>
      </c>
      <c r="G140" s="21"/>
      <c r="H140" s="29" t="s">
        <v>167</v>
      </c>
      <c r="I140" s="21">
        <v>4.95</v>
      </c>
      <c r="J140" s="21"/>
      <c r="K140" s="21"/>
      <c r="L140" s="20"/>
      <c r="M140" s="25"/>
      <c r="N140" s="25"/>
      <c r="O140" s="20"/>
      <c r="P140" s="20"/>
      <c r="Q140" s="21"/>
      <c r="R140" s="21"/>
      <c r="V140" s="20" t="s">
        <v>170</v>
      </c>
      <c r="W140" s="23">
        <f>ROUND(F140*I140, 2)</f>
        <v>148.5</v>
      </c>
      <c r="X140" s="23"/>
      <c r="Y140" s="24"/>
    </row>
    <row r="142" spans="1:25">
      <c r="E142" s="19" t="s">
        <v>205</v>
      </c>
      <c r="F142" s="21">
        <v>30</v>
      </c>
      <c r="G142" s="21"/>
      <c r="H142" s="20" t="s">
        <v>167</v>
      </c>
      <c r="I142" s="21">
        <v>4.95</v>
      </c>
      <c r="J142" s="21"/>
      <c r="V142" s="20" t="s">
        <v>170</v>
      </c>
      <c r="W142" s="23">
        <f>ROUND(F142*I142, 2)</f>
        <v>148.5</v>
      </c>
      <c r="X142" s="23"/>
      <c r="Y142" s="24"/>
    </row>
    <row r="143" spans="1:25">
      <c r="B143" s="18"/>
    </row>
    <row r="144" spans="1:25">
      <c r="E144" s="19"/>
      <c r="F144" s="20"/>
      <c r="G144" s="21"/>
      <c r="H144" s="21"/>
      <c r="I144" s="20"/>
      <c r="J144" s="25"/>
      <c r="K144" s="25"/>
      <c r="L144" s="20"/>
      <c r="M144" s="21"/>
      <c r="N144" s="21"/>
      <c r="O144" s="20"/>
      <c r="P144" s="25"/>
      <c r="Q144" s="25"/>
      <c r="R144" s="20"/>
      <c r="S144" s="21"/>
      <c r="T144" s="21"/>
      <c r="U144" s="20"/>
    </row>
    <row r="145" spans="2:25">
      <c r="B145" s="18" t="s">
        <v>193</v>
      </c>
    </row>
    <row r="146" spans="2:25">
      <c r="E146" s="19" t="s">
        <v>194</v>
      </c>
      <c r="F146" s="20" t="s">
        <v>166</v>
      </c>
      <c r="G146" s="21">
        <v>3.95</v>
      </c>
      <c r="H146" s="21"/>
      <c r="I146" s="20" t="s">
        <v>167</v>
      </c>
      <c r="J146" s="21">
        <v>0.5</v>
      </c>
      <c r="K146" s="21"/>
      <c r="L146" s="20" t="s">
        <v>167</v>
      </c>
      <c r="M146" s="25">
        <v>2</v>
      </c>
      <c r="N146" s="25"/>
      <c r="O146" s="20" t="s">
        <v>167</v>
      </c>
      <c r="P146" s="22">
        <v>48</v>
      </c>
      <c r="Q146" s="22"/>
      <c r="R146" s="20" t="s">
        <v>169</v>
      </c>
      <c r="S146" s="20" t="s">
        <v>168</v>
      </c>
      <c r="V146" s="20"/>
      <c r="W146" s="23"/>
      <c r="X146" s="23"/>
      <c r="Y146" s="24"/>
    </row>
    <row r="148" spans="2:25">
      <c r="F148" s="20" t="s">
        <v>166</v>
      </c>
      <c r="G148" s="21">
        <v>4.0999999999999996</v>
      </c>
      <c r="H148" s="21"/>
      <c r="I148" s="20" t="s">
        <v>167</v>
      </c>
      <c r="J148" s="21">
        <v>0.5</v>
      </c>
      <c r="K148" s="21"/>
      <c r="L148" s="20" t="s">
        <v>167</v>
      </c>
      <c r="M148" s="25">
        <v>2</v>
      </c>
      <c r="N148" s="25"/>
      <c r="O148" s="20" t="s">
        <v>167</v>
      </c>
      <c r="P148" s="22">
        <v>50</v>
      </c>
      <c r="Q148" s="22"/>
      <c r="R148" s="20" t="s">
        <v>169</v>
      </c>
      <c r="S148" s="20" t="s">
        <v>168</v>
      </c>
    </row>
    <row r="149" spans="2:25">
      <c r="B149" s="18"/>
    </row>
    <row r="150" spans="2:25">
      <c r="E150" s="19"/>
      <c r="F150" s="20" t="s">
        <v>166</v>
      </c>
      <c r="G150" s="21">
        <v>3.85</v>
      </c>
      <c r="H150" s="21"/>
      <c r="I150" s="20" t="s">
        <v>167</v>
      </c>
      <c r="J150" s="21">
        <v>0.5</v>
      </c>
      <c r="K150" s="21"/>
      <c r="L150" s="20" t="s">
        <v>167</v>
      </c>
      <c r="M150" s="25">
        <v>2</v>
      </c>
      <c r="N150" s="25"/>
      <c r="O150" s="20" t="s">
        <v>167</v>
      </c>
      <c r="P150" s="22">
        <v>44</v>
      </c>
      <c r="Q150" s="22"/>
      <c r="R150" s="20" t="s">
        <v>169</v>
      </c>
      <c r="S150" s="20"/>
      <c r="T150" s="21"/>
      <c r="U150" s="21"/>
      <c r="V150" s="20" t="s">
        <v>170</v>
      </c>
      <c r="W150" s="23">
        <f>ROUND((G146*J146*M146*P146)+(G148*J148*M148*P148)+(G150*J150*M150*P150), 2)</f>
        <v>564</v>
      </c>
      <c r="X150" s="23"/>
      <c r="Y150" s="24"/>
    </row>
    <row r="153" spans="2:25">
      <c r="B153" s="18" t="s">
        <v>164</v>
      </c>
    </row>
    <row r="154" spans="2:25">
      <c r="E154" s="19" t="s">
        <v>195</v>
      </c>
      <c r="F154" s="20" t="s">
        <v>166</v>
      </c>
      <c r="G154" s="29" t="s">
        <v>166</v>
      </c>
      <c r="H154" s="21">
        <v>25.3</v>
      </c>
      <c r="I154" s="21"/>
      <c r="J154" s="33" t="s">
        <v>168</v>
      </c>
      <c r="K154" s="21">
        <v>30.4</v>
      </c>
      <c r="L154" s="21"/>
      <c r="M154" s="29" t="s">
        <v>168</v>
      </c>
      <c r="N154" s="21">
        <v>0</v>
      </c>
      <c r="O154" s="21"/>
      <c r="P154" s="33" t="s">
        <v>169</v>
      </c>
      <c r="Q154" s="33" t="s">
        <v>167</v>
      </c>
      <c r="R154" s="21">
        <v>0.3</v>
      </c>
      <c r="S154" s="21"/>
      <c r="T154" s="29" t="s">
        <v>167</v>
      </c>
      <c r="U154" s="21"/>
      <c r="V154" s="20"/>
      <c r="W154" s="23"/>
      <c r="X154" s="23"/>
      <c r="Y154" s="24"/>
    </row>
    <row r="156" spans="2:25">
      <c r="F156" s="22">
        <v>2</v>
      </c>
      <c r="G156" s="22"/>
      <c r="H156" s="20" t="s">
        <v>169</v>
      </c>
      <c r="V156" s="20" t="s">
        <v>170</v>
      </c>
      <c r="W156" s="23">
        <f>ROUND(((H154+K154+N154)*R154*F156), 2)</f>
        <v>33.42</v>
      </c>
      <c r="X156" s="23"/>
      <c r="Y156" s="24"/>
    </row>
    <row r="157" spans="2:25">
      <c r="B157" s="18"/>
    </row>
    <row r="158" spans="2:25">
      <c r="E158" s="19" t="s">
        <v>196</v>
      </c>
      <c r="F158" s="20" t="s">
        <v>166</v>
      </c>
      <c r="G158" s="21">
        <v>2.7</v>
      </c>
      <c r="H158" s="21"/>
      <c r="I158" s="20" t="s">
        <v>167</v>
      </c>
      <c r="J158" s="25">
        <v>2</v>
      </c>
      <c r="K158" s="25"/>
      <c r="L158" s="20" t="s">
        <v>168</v>
      </c>
      <c r="M158" s="21">
        <v>5.6</v>
      </c>
      <c r="N158" s="21"/>
      <c r="O158" s="20" t="s">
        <v>169</v>
      </c>
      <c r="P158" s="33" t="s">
        <v>167</v>
      </c>
      <c r="Q158" s="21">
        <v>0.3</v>
      </c>
      <c r="R158" s="21"/>
      <c r="S158" s="20"/>
      <c r="T158" s="21"/>
      <c r="U158" s="21"/>
      <c r="V158" s="20" t="s">
        <v>170</v>
      </c>
      <c r="W158" s="23">
        <f>ROUND((G158*J158+M158)*Q158, 2)</f>
        <v>3.3</v>
      </c>
      <c r="X158" s="23"/>
      <c r="Y158" s="24"/>
    </row>
    <row r="160" spans="2:25">
      <c r="E160" s="19" t="s">
        <v>197</v>
      </c>
      <c r="F160" s="20" t="s">
        <v>166</v>
      </c>
      <c r="G160" s="21">
        <v>5.4</v>
      </c>
      <c r="H160" s="21"/>
      <c r="I160" s="20" t="s">
        <v>167</v>
      </c>
      <c r="J160" s="25">
        <v>2</v>
      </c>
      <c r="K160" s="25"/>
      <c r="L160" s="20" t="s">
        <v>168</v>
      </c>
      <c r="M160" s="21">
        <v>30.4</v>
      </c>
      <c r="N160" s="21"/>
      <c r="O160" s="20" t="s">
        <v>169</v>
      </c>
      <c r="P160" s="20" t="s">
        <v>167</v>
      </c>
      <c r="Q160" s="21">
        <v>0.3</v>
      </c>
      <c r="R160" s="21"/>
      <c r="V160" s="20" t="s">
        <v>170</v>
      </c>
      <c r="W160" s="23">
        <f>ROUND((G160*J160+M160)*Q160, 2)</f>
        <v>12.36</v>
      </c>
      <c r="X160" s="23"/>
      <c r="Y160" s="24"/>
    </row>
    <row r="161" spans="1:26">
      <c r="Y161" s="26"/>
      <c r="Z161" s="28"/>
    </row>
    <row r="163" spans="1:26">
      <c r="Y163" s="26" t="s">
        <v>178</v>
      </c>
      <c r="Z163" s="28">
        <f>SUM(W136,W140,W142,W150,W156,W158,W160)</f>
        <v>1266.48</v>
      </c>
    </row>
    <row r="164" spans="1:26">
      <c r="A164" s="17"/>
    </row>
    <row r="165" spans="1:26">
      <c r="B165" s="18"/>
    </row>
    <row r="166" spans="1:26">
      <c r="E166" s="19"/>
      <c r="F166" s="20"/>
      <c r="G166" s="21"/>
      <c r="H166" s="21"/>
      <c r="I166" s="20"/>
      <c r="J166" s="21"/>
      <c r="K166" s="21"/>
      <c r="L166" s="20"/>
      <c r="M166" s="22"/>
      <c r="N166" s="22"/>
      <c r="O166" s="20"/>
      <c r="V166" s="20"/>
      <c r="W166" s="23"/>
      <c r="X166" s="23"/>
      <c r="Y166" s="24"/>
    </row>
    <row r="169" spans="1:26">
      <c r="B169" s="18"/>
    </row>
    <row r="170" spans="1:26">
      <c r="E170" s="19"/>
      <c r="F170" s="21"/>
      <c r="G170" s="21"/>
      <c r="H170" s="20"/>
      <c r="I170" s="21"/>
      <c r="J170" s="21"/>
      <c r="K170" s="20"/>
      <c r="L170" s="21"/>
      <c r="M170" s="21"/>
      <c r="N170" s="20"/>
      <c r="O170" s="21"/>
      <c r="P170" s="21"/>
      <c r="V170" s="20"/>
      <c r="W170" s="23"/>
      <c r="X170" s="23"/>
      <c r="Y170" s="24"/>
    </row>
    <row r="173" spans="1:26">
      <c r="B173" s="18"/>
    </row>
    <row r="174" spans="1:26">
      <c r="E174" s="19"/>
      <c r="F174" s="21"/>
      <c r="G174" s="21"/>
      <c r="H174" s="20"/>
      <c r="I174" s="21"/>
      <c r="J174" s="21"/>
      <c r="V174" s="20"/>
      <c r="W174" s="23"/>
      <c r="X174" s="23"/>
      <c r="Y174" s="24"/>
    </row>
    <row r="177" spans="1:26">
      <c r="Y177" s="26"/>
      <c r="Z177" s="28"/>
    </row>
    <row r="180" spans="1:26">
      <c r="A180" s="17"/>
    </row>
    <row r="181" spans="1:26">
      <c r="B181" s="18"/>
    </row>
    <row r="182" spans="1:26">
      <c r="E182" s="19"/>
      <c r="F182" s="20"/>
      <c r="G182" s="20"/>
      <c r="H182" s="21"/>
      <c r="I182" s="21"/>
      <c r="J182" s="20"/>
      <c r="K182" s="21"/>
      <c r="L182" s="21"/>
      <c r="M182" s="20"/>
      <c r="N182" s="21"/>
      <c r="O182" s="21"/>
      <c r="P182" s="20"/>
      <c r="Q182" s="20"/>
      <c r="R182" s="21"/>
      <c r="S182" s="21"/>
      <c r="T182" s="20"/>
    </row>
    <row r="184" spans="1:26">
      <c r="F184" s="22"/>
      <c r="G184" s="22"/>
      <c r="H184" s="20"/>
      <c r="V184" s="20"/>
      <c r="W184" s="23"/>
      <c r="X184" s="23"/>
      <c r="Y184" s="24"/>
    </row>
    <row r="187" spans="1:26">
      <c r="B187" s="18"/>
    </row>
    <row r="188" spans="1:26">
      <c r="E188" s="19"/>
      <c r="F188" s="20"/>
      <c r="G188" s="20"/>
      <c r="H188" s="21"/>
      <c r="I188" s="21"/>
      <c r="J188" s="20"/>
      <c r="K188" s="21"/>
      <c r="L188" s="21"/>
      <c r="M188" s="20"/>
      <c r="N188" s="20"/>
      <c r="O188" s="25"/>
      <c r="P188" s="25"/>
      <c r="Q188" s="20"/>
      <c r="R188" s="25"/>
      <c r="S188" s="25"/>
      <c r="T188" s="20"/>
    </row>
    <row r="190" spans="1:26">
      <c r="F190" s="21"/>
      <c r="G190" s="21"/>
      <c r="H190" s="20"/>
      <c r="I190" s="25"/>
      <c r="J190" s="25"/>
      <c r="K190" s="20"/>
      <c r="L190" s="21"/>
      <c r="M190" s="21"/>
      <c r="N190" s="20"/>
      <c r="O190" s="21"/>
      <c r="P190" s="21"/>
      <c r="Q190" s="20"/>
      <c r="R190" s="25"/>
      <c r="S190" s="25"/>
      <c r="T190" s="20"/>
    </row>
    <row r="192" spans="1:26">
      <c r="F192" s="22"/>
      <c r="G192" s="22"/>
      <c r="H192" s="20"/>
      <c r="V192" s="20"/>
      <c r="W192" s="23"/>
      <c r="X192" s="23"/>
      <c r="Y192" s="24"/>
    </row>
    <row r="195" spans="2:25">
      <c r="B195" s="18"/>
    </row>
    <row r="196" spans="2:25">
      <c r="E196" s="19"/>
      <c r="F196" s="20"/>
      <c r="G196" s="21"/>
      <c r="H196" s="21"/>
      <c r="I196" s="20"/>
      <c r="J196" s="21"/>
      <c r="K196" s="21"/>
      <c r="L196" s="20"/>
      <c r="M196" s="25"/>
      <c r="N196" s="25"/>
      <c r="O196" s="20"/>
      <c r="P196" s="22"/>
      <c r="Q196" s="22"/>
      <c r="R196" s="20"/>
      <c r="S196" s="20"/>
    </row>
    <row r="198" spans="2:25">
      <c r="F198" s="20"/>
      <c r="G198" s="21"/>
      <c r="H198" s="21"/>
      <c r="I198" s="20"/>
      <c r="J198" s="21"/>
      <c r="K198" s="21"/>
      <c r="L198" s="20"/>
      <c r="M198" s="25"/>
      <c r="N198" s="25"/>
      <c r="O198" s="20"/>
      <c r="P198" s="22"/>
      <c r="Q198" s="22"/>
      <c r="R198" s="20"/>
      <c r="S198" s="20"/>
    </row>
    <row r="200" spans="2:25">
      <c r="F200" s="20"/>
      <c r="G200" s="21"/>
      <c r="H200" s="21"/>
      <c r="I200" s="20"/>
      <c r="J200" s="21"/>
      <c r="K200" s="21"/>
      <c r="L200" s="20"/>
      <c r="M200" s="25"/>
      <c r="N200" s="25"/>
      <c r="O200" s="20"/>
      <c r="P200" s="22"/>
      <c r="Q200" s="22"/>
      <c r="R200" s="20"/>
      <c r="S200" s="20"/>
    </row>
    <row r="202" spans="2:25">
      <c r="F202" s="20"/>
      <c r="G202" s="21"/>
      <c r="H202" s="21"/>
      <c r="I202" s="20"/>
      <c r="J202" s="21"/>
      <c r="K202" s="21"/>
      <c r="L202" s="20"/>
      <c r="M202" s="25"/>
      <c r="N202" s="25"/>
      <c r="O202" s="20"/>
      <c r="P202" s="22"/>
      <c r="Q202" s="22"/>
      <c r="R202" s="20"/>
      <c r="V202" s="20"/>
      <c r="W202" s="23"/>
      <c r="X202" s="23"/>
      <c r="Y202" s="24"/>
    </row>
    <row r="205" spans="2:25">
      <c r="B205" s="18"/>
    </row>
    <row r="206" spans="2:25">
      <c r="E206" s="19"/>
      <c r="F206" s="20"/>
      <c r="G206" s="21"/>
      <c r="H206" s="21"/>
      <c r="I206" s="20"/>
      <c r="J206" s="21"/>
      <c r="K206" s="21"/>
      <c r="L206" s="20"/>
      <c r="M206" s="25"/>
      <c r="N206" s="25"/>
      <c r="O206" s="20"/>
      <c r="P206" s="22"/>
      <c r="Q206" s="22"/>
      <c r="R206" s="20"/>
      <c r="V206" s="20"/>
      <c r="W206" s="23"/>
      <c r="X206" s="23"/>
      <c r="Y206" s="24"/>
    </row>
    <row r="209" spans="2:26">
      <c r="B209" s="18"/>
    </row>
    <row r="210" spans="2:26">
      <c r="E210" s="19"/>
      <c r="F210" s="21"/>
      <c r="G210" s="21"/>
      <c r="H210" s="20"/>
      <c r="I210" s="21"/>
      <c r="J210" s="21"/>
      <c r="V210" s="20"/>
      <c r="W210" s="23"/>
      <c r="X210" s="23"/>
      <c r="Y210" s="24"/>
    </row>
    <row r="212" spans="2:26">
      <c r="E212" s="19"/>
      <c r="F212" s="21"/>
      <c r="G212" s="21"/>
      <c r="H212" s="20"/>
      <c r="I212" s="21"/>
      <c r="J212" s="21"/>
      <c r="V212" s="20"/>
      <c r="W212" s="23"/>
      <c r="X212" s="23"/>
      <c r="Y212" s="24"/>
    </row>
    <row r="215" spans="2:26">
      <c r="B215" s="18"/>
    </row>
    <row r="216" spans="2:26">
      <c r="E216" s="19"/>
      <c r="F216" s="20"/>
      <c r="G216" s="21"/>
      <c r="H216" s="21"/>
      <c r="I216" s="20"/>
      <c r="J216" s="25"/>
      <c r="K216" s="25"/>
      <c r="L216" s="20"/>
      <c r="M216" s="21"/>
      <c r="N216" s="21"/>
      <c r="O216" s="20"/>
      <c r="P216" s="20"/>
      <c r="Q216" s="21"/>
      <c r="R216" s="21"/>
      <c r="V216" s="20"/>
      <c r="W216" s="23"/>
      <c r="X216" s="23"/>
      <c r="Y216" s="24"/>
    </row>
    <row r="219" spans="2:26">
      <c r="B219" s="18"/>
    </row>
    <row r="220" spans="2:26">
      <c r="E220" s="19"/>
      <c r="F220" s="20"/>
      <c r="G220" s="21"/>
      <c r="H220" s="21"/>
      <c r="I220" s="20"/>
      <c r="J220" s="25"/>
      <c r="K220" s="25"/>
      <c r="L220" s="20"/>
      <c r="M220" s="21"/>
      <c r="N220" s="21"/>
      <c r="O220" s="20"/>
      <c r="P220" s="20"/>
      <c r="Q220" s="21"/>
      <c r="R220" s="21"/>
      <c r="V220" s="20"/>
      <c r="W220" s="23"/>
      <c r="X220" s="23"/>
      <c r="Y220" s="24"/>
    </row>
    <row r="223" spans="2:26">
      <c r="Y223" s="26"/>
      <c r="Z223" s="28"/>
    </row>
  </sheetData>
  <phoneticPr fontId="1" type="noConversion"/>
  <printOptions horizontalCentered="1"/>
  <pageMargins left="0.59055118110236227" right="0.59055118110236227" top="0.78740157480314965" bottom="0.78740157480314965" header="0.51181102362204722" footer="0.51181102362204722"/>
  <pageSetup paperSize="9" fitToWidth="2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CSV_Import</vt:lpstr>
      <vt:lpstr>Formula</vt:lpstr>
      <vt:lpstr>Calc_Sheet</vt:lpstr>
      <vt:lpstr>Quantity_Report</vt:lpstr>
      <vt:lpstr>CSV_Import!ExternalData_1</vt:lpstr>
      <vt:lpstr>CSV_Import!ExternalData_2</vt:lpstr>
      <vt:lpstr>CSV_Import!ExternalData_3</vt:lpstr>
      <vt:lpstr>Quantity_Report!Print_Titles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최재경</dc:creator>
  <cp:lastModifiedBy>최재경</cp:lastModifiedBy>
  <cp:lastPrinted>2026-02-26T01:20:48Z</cp:lastPrinted>
  <dcterms:created xsi:type="dcterms:W3CDTF">2026-02-13T01:44:55Z</dcterms:created>
  <dcterms:modified xsi:type="dcterms:W3CDTF">2026-06-04T04:26:10Z</dcterms:modified>
</cp:coreProperties>
</file>